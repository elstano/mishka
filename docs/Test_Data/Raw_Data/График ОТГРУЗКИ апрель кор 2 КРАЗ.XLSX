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1380" windowWidth="15135" windowHeight="8040"/>
  </bookViews>
  <sheets>
    <sheet name="Sheet1" sheetId="1" r:id="rId1"/>
    <sheet name="Экспорт" sheetId="5" r:id="rId2"/>
    <sheet name="Сплав" sheetId="4" r:id="rId3"/>
    <sheet name="Россия" sheetId="2" r:id="rId4"/>
    <sheet name="КраМЗ" sheetId="3" r:id="rId5"/>
  </sheets>
  <definedNames>
    <definedName name="_xlnm._FilterDatabase" localSheetId="0" hidden="1">Sheet1!$A$2:$R$28</definedName>
    <definedName name="_xlnm._FilterDatabase" localSheetId="3" hidden="1">Россия!$A$2:$Q$14</definedName>
    <definedName name="_xlnm._FilterDatabase" localSheetId="2" hidden="1">Сплав!$A$2:$X$48</definedName>
    <definedName name="_xlnm._FilterDatabase" localSheetId="1" hidden="1">Экспорт!$A$2:$N$10</definedName>
  </definedNames>
  <calcPr calcId="145621"/>
</workbook>
</file>

<file path=xl/calcChain.xml><?xml version="1.0" encoding="utf-8"?>
<calcChain xmlns="http://schemas.openxmlformats.org/spreadsheetml/2006/main">
  <c r="AW15" i="1" l="1"/>
  <c r="K47" i="1" l="1"/>
  <c r="AW40" i="1" l="1"/>
  <c r="AW39" i="1"/>
  <c r="AW38" i="1"/>
  <c r="AW37" i="1"/>
  <c r="AW36" i="1"/>
  <c r="AW35" i="1"/>
  <c r="AW34" i="1"/>
  <c r="AW33" i="1"/>
  <c r="AW10" i="1" l="1"/>
  <c r="AW9" i="1" l="1"/>
  <c r="AW12" i="1"/>
  <c r="AW8" i="1"/>
  <c r="V41" i="1" l="1"/>
  <c r="W41" i="1"/>
  <c r="X41" i="1"/>
  <c r="Y41" i="1"/>
  <c r="Z41" i="1"/>
  <c r="AA41" i="1"/>
  <c r="AB41" i="1"/>
  <c r="AC41" i="1"/>
  <c r="AD41" i="1"/>
  <c r="AE41" i="1"/>
  <c r="AF41" i="1"/>
  <c r="AG41" i="1"/>
  <c r="AH41" i="1"/>
  <c r="AI41" i="1"/>
  <c r="AJ41" i="1"/>
  <c r="AK41" i="1"/>
  <c r="AL41" i="1"/>
  <c r="AM41" i="1"/>
  <c r="AN41" i="1"/>
  <c r="AO41" i="1"/>
  <c r="AP41" i="1"/>
  <c r="AQ41" i="1"/>
  <c r="AR41" i="1"/>
  <c r="AS41" i="1"/>
  <c r="AT41" i="1"/>
  <c r="AU41" i="1"/>
  <c r="AV41" i="1"/>
  <c r="U41" i="1"/>
  <c r="AW7" i="1" l="1"/>
  <c r="AW17" i="1"/>
  <c r="AW18" i="1"/>
  <c r="AW19" i="1"/>
  <c r="AW20" i="1"/>
  <c r="AW21" i="1"/>
  <c r="AW22" i="1"/>
  <c r="AW23" i="1"/>
  <c r="AW24" i="1"/>
  <c r="AW25" i="1"/>
  <c r="AW26" i="1"/>
  <c r="AW27" i="1"/>
  <c r="AW28" i="1"/>
  <c r="AW16" i="1"/>
  <c r="AW48" i="1" l="1"/>
  <c r="K48" i="1"/>
  <c r="AW47" i="1"/>
  <c r="AW46" i="1"/>
  <c r="K46" i="1"/>
  <c r="AW45" i="1"/>
  <c r="K45" i="1"/>
  <c r="AW44" i="1"/>
  <c r="K44" i="1"/>
  <c r="AW4" i="1" l="1"/>
  <c r="AW6" i="1"/>
  <c r="AW5" i="1"/>
  <c r="AW11" i="1"/>
  <c r="AW13" i="1"/>
  <c r="AW14" i="1"/>
  <c r="AW3" i="1"/>
  <c r="H3" i="5"/>
  <c r="I48" i="4"/>
  <c r="F11" i="3"/>
  <c r="F14" i="2"/>
  <c r="G14" i="2"/>
  <c r="I14" i="2"/>
  <c r="J14" i="2"/>
  <c r="K14" i="2"/>
  <c r="E14" i="2"/>
  <c r="F48" i="4"/>
  <c r="G48" i="4"/>
  <c r="J48" i="4"/>
  <c r="K48" i="4"/>
  <c r="E48" i="4"/>
  <c r="H10" i="5"/>
  <c r="I10" i="5"/>
  <c r="J10" i="5"/>
  <c r="E10" i="5"/>
</calcChain>
</file>

<file path=xl/sharedStrings.xml><?xml version="1.0" encoding="utf-8"?>
<sst xmlns="http://schemas.openxmlformats.org/spreadsheetml/2006/main" count="1202" uniqueCount="261">
  <si>
    <t>РЫНОК</t>
  </si>
  <si>
    <t>НОМЕР_ЗАКАЗА</t>
  </si>
  <si>
    <t>МАРКА</t>
  </si>
  <si>
    <t>ФОРМА</t>
  </si>
  <si>
    <t>СПЕЦИФИКАЦИЯ</t>
  </si>
  <si>
    <t>ТОННАЖ</t>
  </si>
  <si>
    <t>ЗАВОД</t>
  </si>
  <si>
    <t>ПОГРАНИЧНЫЙ_ПОРТ</t>
  </si>
  <si>
    <t>СТАНЦИЯ</t>
  </si>
  <si>
    <t>ПОКУПАТЕЛЬ</t>
  </si>
  <si>
    <t>СТРАНА_ПОСТАВКИ</t>
  </si>
  <si>
    <t>ТАРА</t>
  </si>
  <si>
    <t>КОММЕНТАРИЙ</t>
  </si>
  <si>
    <t>КРАЙНИЙ_СРОК_ОТГРУЗКИ</t>
  </si>
  <si>
    <t>С_СГП</t>
  </si>
  <si>
    <t>НА_СГП</t>
  </si>
  <si>
    <t>ЭКСПОРТ</t>
  </si>
  <si>
    <t>152156</t>
  </si>
  <si>
    <t>8079</t>
  </si>
  <si>
    <t>SLABS</t>
  </si>
  <si>
    <t/>
  </si>
  <si>
    <t>KRAZ</t>
  </si>
  <si>
    <t>NOVOROSSIYSK</t>
  </si>
  <si>
    <t>J Aron Company</t>
  </si>
  <si>
    <t>GREECE</t>
  </si>
  <si>
    <t>RAILCAR</t>
  </si>
  <si>
    <t>177452</t>
  </si>
  <si>
    <t>1200</t>
  </si>
  <si>
    <t>177453</t>
  </si>
  <si>
    <t>300301</t>
  </si>
  <si>
    <t>227352</t>
  </si>
  <si>
    <t>234696</t>
  </si>
  <si>
    <t>238775</t>
  </si>
  <si>
    <t>3104</t>
  </si>
  <si>
    <t>ST.PETERSBURG</t>
  </si>
  <si>
    <t>Constellium Rhenalu</t>
  </si>
  <si>
    <t>NETHERLANDS</t>
  </si>
  <si>
    <t>производство на 4 или 5 агрегате</t>
  </si>
  <si>
    <t>238777</t>
  </si>
  <si>
    <t>ТС 449-1-57</t>
  </si>
  <si>
    <t>238778</t>
  </si>
  <si>
    <t>238855</t>
  </si>
  <si>
    <t>3003</t>
  </si>
  <si>
    <t>уточняется</t>
  </si>
  <si>
    <t>MYS ASTAFIEVA</t>
  </si>
  <si>
    <t>Novelis Korea Limited</t>
  </si>
  <si>
    <t>SOUTH KOREA</t>
  </si>
  <si>
    <t>состояние В;</t>
  </si>
  <si>
    <t>239516</t>
  </si>
  <si>
    <t>8079-L</t>
  </si>
  <si>
    <t>Hydro Aluminium Rolled Products GmbH</t>
  </si>
  <si>
    <t>FQ тип маркировки 57</t>
  </si>
  <si>
    <t>239517</t>
  </si>
  <si>
    <t>239518</t>
  </si>
  <si>
    <t>239519</t>
  </si>
  <si>
    <t>239520</t>
  </si>
  <si>
    <t>239521</t>
  </si>
  <si>
    <t>1110-D</t>
  </si>
  <si>
    <t>OQ тип маркировки 57</t>
  </si>
  <si>
    <t>239522</t>
  </si>
  <si>
    <t>239523</t>
  </si>
  <si>
    <t>239524</t>
  </si>
  <si>
    <t>239525</t>
  </si>
  <si>
    <t>235134</t>
  </si>
  <si>
    <t>356.2</t>
  </si>
  <si>
    <t>INGOTS</t>
  </si>
  <si>
    <t>449-2-57 ред. 3</t>
  </si>
  <si>
    <t>NAKHODKA</t>
  </si>
  <si>
    <t>Toyota Tsusho Corporation</t>
  </si>
  <si>
    <t>235181</t>
  </si>
  <si>
    <t>AlSi11MgSr</t>
  </si>
  <si>
    <t>449-2-110</t>
  </si>
  <si>
    <t>Rusal America Corp.</t>
  </si>
  <si>
    <t>USA</t>
  </si>
  <si>
    <t>RWCONTAINER</t>
  </si>
  <si>
    <t>Грузить без упаковочной пленки. Навесные бирки "Made in Russia".</t>
  </si>
  <si>
    <t>235240</t>
  </si>
  <si>
    <t>356.2 (Sr)</t>
  </si>
  <si>
    <t>449-2-88 р6</t>
  </si>
  <si>
    <t>Навесные бирки "Made in Russia".</t>
  </si>
  <si>
    <t>235241</t>
  </si>
  <si>
    <t>T-BARS</t>
  </si>
  <si>
    <t>449-3-43</t>
  </si>
  <si>
    <t>236895</t>
  </si>
  <si>
    <t>AlSi3</t>
  </si>
  <si>
    <t>3-10/1</t>
  </si>
  <si>
    <t>Mitsui &amp; Co.europe (uk) Plc</t>
  </si>
  <si>
    <t>JAPAN</t>
  </si>
  <si>
    <t>236898</t>
  </si>
  <si>
    <t>449-3-55 рев 3</t>
  </si>
  <si>
    <t>236899</t>
  </si>
  <si>
    <t>449-3-20, ред. 2</t>
  </si>
  <si>
    <t>Обрезные донники</t>
  </si>
  <si>
    <t>236900</t>
  </si>
  <si>
    <t>VOSTOCHNY</t>
  </si>
  <si>
    <t>CONTAINER</t>
  </si>
  <si>
    <t>236901</t>
  </si>
  <si>
    <t>449-3-10</t>
  </si>
  <si>
    <t>236902</t>
  </si>
  <si>
    <t>449-3-19</t>
  </si>
  <si>
    <t>236903</t>
  </si>
  <si>
    <t>449-3-22 ред.1</t>
  </si>
  <si>
    <t>236907</t>
  </si>
  <si>
    <t>449-3-33 ред 3</t>
  </si>
  <si>
    <t>AVTOVO</t>
  </si>
  <si>
    <t>Aluzinc AG</t>
  </si>
  <si>
    <t>KENYA</t>
  </si>
  <si>
    <t>heavy containers abt 24 mt</t>
  </si>
  <si>
    <t>236908</t>
  </si>
  <si>
    <t>SOUTH AFRICA</t>
  </si>
  <si>
    <t>236909</t>
  </si>
  <si>
    <t>TANZANIA</t>
  </si>
  <si>
    <t>236919</t>
  </si>
  <si>
    <t>236921</t>
  </si>
  <si>
    <t>загрузка строго не более 21 пакета в контейнер!</t>
  </si>
  <si>
    <t>238644</t>
  </si>
  <si>
    <t>238736</t>
  </si>
  <si>
    <t>TC 449-3-76</t>
  </si>
  <si>
    <t>Intelorg Private Ltd</t>
  </si>
  <si>
    <t>TAIWAN</t>
  </si>
  <si>
    <t>c каждой плавки доп-но отбирать по 2 пробы</t>
  </si>
  <si>
    <t>238741</t>
  </si>
  <si>
    <t>238753</t>
  </si>
  <si>
    <t>A-S7G03(ALSi7Mg)</t>
  </si>
  <si>
    <t>449-2-121</t>
  </si>
  <si>
    <t>Oddo&amp; Cie-Division Oddo Metals</t>
  </si>
  <si>
    <t>238755</t>
  </si>
  <si>
    <t>449-2-118</t>
  </si>
  <si>
    <t>238772</t>
  </si>
  <si>
    <t>TC 449-02-141 рев1</t>
  </si>
  <si>
    <t>Mechem</t>
  </si>
  <si>
    <t>TURKEY</t>
  </si>
  <si>
    <t>Ingots of 15 kg, Kor Metal</t>
  </si>
  <si>
    <t>238796</t>
  </si>
  <si>
    <t>TC 449-02-129 (ред.1)</t>
  </si>
  <si>
    <t>Trimet Ag</t>
  </si>
  <si>
    <t>15 kg ingots. 500 kgs bundles</t>
  </si>
  <si>
    <t>235195</t>
  </si>
  <si>
    <t>A3N8</t>
  </si>
  <si>
    <t>3-31</t>
  </si>
  <si>
    <t>235256</t>
  </si>
  <si>
    <t>Furukawa-Sky Aluminium</t>
  </si>
  <si>
    <t>Отгружать не более 21,5 МТ НЕТТО!</t>
  </si>
  <si>
    <t>235257</t>
  </si>
  <si>
    <t>A7E</t>
  </si>
  <si>
    <t>A5</t>
  </si>
  <si>
    <t>A6</t>
  </si>
  <si>
    <t>235637</t>
  </si>
  <si>
    <t>A995</t>
  </si>
  <si>
    <t>ГОСТ 11069-2001, 11070-74</t>
  </si>
  <si>
    <t>САМОВЫВОЗ</t>
  </si>
  <si>
    <t>МИЧУРИНСКИЙ ЗАВОД  ПРОГРЕСС</t>
  </si>
  <si>
    <t>RUSSIAN FEDERATION</t>
  </si>
  <si>
    <t>EX WAREHOUSE</t>
  </si>
  <si>
    <t>ГОСТ 11069-2001</t>
  </si>
  <si>
    <t>Downstream</t>
  </si>
  <si>
    <t>УАЗ</t>
  </si>
  <si>
    <t>КУМЗ</t>
  </si>
  <si>
    <t>237179</t>
  </si>
  <si>
    <t>ТУ 1712-30-05785218-96</t>
  </si>
  <si>
    <t>237389</t>
  </si>
  <si>
    <t>237503</t>
  </si>
  <si>
    <t>A99</t>
  </si>
  <si>
    <t>Ступинская Металлургическая Компания</t>
  </si>
  <si>
    <t>237516</t>
  </si>
  <si>
    <t>LIQUID</t>
  </si>
  <si>
    <t>KRAMZ</t>
  </si>
  <si>
    <t>равномерно</t>
  </si>
  <si>
    <t>А7Э +300тн в счет кор2</t>
  </si>
  <si>
    <t>237517</t>
  </si>
  <si>
    <t>АВ97</t>
  </si>
  <si>
    <t>ГОСТ 295-98</t>
  </si>
  <si>
    <t>237698</t>
  </si>
  <si>
    <t>ПЕРМСКИЙ МОТОРН. З-Д</t>
  </si>
  <si>
    <t>237797</t>
  </si>
  <si>
    <t>ГНПРКЦ ЦСКБ-ПРОГРЕСС</t>
  </si>
  <si>
    <t>237811</t>
  </si>
  <si>
    <t>Электровыпрямитель</t>
  </si>
  <si>
    <t>237911</t>
  </si>
  <si>
    <t>ВЕРХНЯЯ САЛДА</t>
  </si>
  <si>
    <t>ВСМПО-АВИСМА</t>
  </si>
  <si>
    <t>237949</t>
  </si>
  <si>
    <t>237990</t>
  </si>
  <si>
    <t>ООО "ТД "Славич"</t>
  </si>
  <si>
    <t>238094</t>
  </si>
  <si>
    <t>A7</t>
  </si>
  <si>
    <t>238120</t>
  </si>
  <si>
    <t>A8</t>
  </si>
  <si>
    <t>238310</t>
  </si>
  <si>
    <t>A35</t>
  </si>
  <si>
    <t>A0</t>
  </si>
  <si>
    <t>238464</t>
  </si>
  <si>
    <t>Тайфун НПП КПЗ</t>
  </si>
  <si>
    <t>238510</t>
  </si>
  <si>
    <t>238545</t>
  </si>
  <si>
    <t>A7e</t>
  </si>
  <si>
    <t>t-bar</t>
  </si>
  <si>
    <t>KALININGRAD</t>
  </si>
  <si>
    <t>1/358</t>
  </si>
  <si>
    <t>sea cont to Vlissingen</t>
  </si>
  <si>
    <t>1/359</t>
  </si>
  <si>
    <t>загрузка по 27 тонн, отгрузка на Флиссинген, фумигированная древесина</t>
  </si>
  <si>
    <t>Апрель корр.0 от 20/03-2013г.</t>
  </si>
  <si>
    <t>Ср.вес</t>
  </si>
  <si>
    <t>тоннаж в график</t>
  </si>
  <si>
    <t>вагон</t>
  </si>
  <si>
    <t>конт</t>
  </si>
  <si>
    <t>ср.вес</t>
  </si>
  <si>
    <t>ST.PETERSBURG Базаиха</t>
  </si>
  <si>
    <t>NAKHODKA БАЗАИХА</t>
  </si>
  <si>
    <t>ТС.449-01-79</t>
  </si>
  <si>
    <t>TC 449-01-83</t>
  </si>
  <si>
    <t>449-01-45</t>
  </si>
  <si>
    <t>TC 449-01-68</t>
  </si>
  <si>
    <t>449-02-57 рев.03</t>
  </si>
  <si>
    <t>449-02-110</t>
  </si>
  <si>
    <t>449-02-88 р6</t>
  </si>
  <si>
    <t>449-03-20, рев.02</t>
  </si>
  <si>
    <t>449-3-33 рев 3</t>
  </si>
  <si>
    <t>TC 449-03-76</t>
  </si>
  <si>
    <t>TC 449-02-129 (рев.01)</t>
  </si>
  <si>
    <t>TC 449-02-141 рев.01</t>
  </si>
  <si>
    <t>RAILCAR комб</t>
  </si>
  <si>
    <t>ЗАКАЗ</t>
  </si>
  <si>
    <t>Тоннаж в график</t>
  </si>
  <si>
    <t>ПОРТ</t>
  </si>
  <si>
    <t>СРОК</t>
  </si>
  <si>
    <t>СТРАНА</t>
  </si>
  <si>
    <t>ИТОГО</t>
  </si>
  <si>
    <t>А0</t>
  </si>
  <si>
    <t>А5</t>
  </si>
  <si>
    <t>А6</t>
  </si>
  <si>
    <t>А7Э</t>
  </si>
  <si>
    <t>порт</t>
  </si>
  <si>
    <t>ALSi7Mg</t>
  </si>
  <si>
    <t>449-3-65 ред 3</t>
  </si>
  <si>
    <t>240335</t>
  </si>
  <si>
    <t>449-02-103 рев.04</t>
  </si>
  <si>
    <t>"Made in Russi</t>
  </si>
  <si>
    <t>с сгп</t>
  </si>
  <si>
    <t>на сгп</t>
  </si>
  <si>
    <t>До 15/04</t>
  </si>
  <si>
    <t>236160</t>
  </si>
  <si>
    <t>01.04-65, 05.04-65 тн, 07.04-65 тн, 09.04-65 тн, 11.04-65 тн, 13.04-65 тн</t>
  </si>
  <si>
    <t>1 вагон ЧТ</t>
  </si>
  <si>
    <t>A95</t>
  </si>
  <si>
    <t>СТУПИНСКАЯ МЕТАЛЛУРГИЧЕСКАЯ КОМПАНИЯ</t>
  </si>
  <si>
    <t>с 01-10/03/2013</t>
  </si>
  <si>
    <t>НЗП 6 тонн</t>
  </si>
  <si>
    <t>3-31 ред.3</t>
  </si>
  <si>
    <t>235662</t>
  </si>
  <si>
    <t>АЛКОА МЕТАЛЛУРГ РУС</t>
  </si>
  <si>
    <t>65 тн отгр 01 - 06;</t>
  </si>
  <si>
    <t>НЗП 20 тонн</t>
  </si>
  <si>
    <t>242317</t>
  </si>
  <si>
    <t>449-2-55 ред 2</t>
  </si>
  <si>
    <t>242434</t>
  </si>
  <si>
    <t>AlSi7MgSr</t>
  </si>
  <si>
    <t>449-2-122 рев.1</t>
  </si>
  <si>
    <t>Апрель корр.2 от 01/03-2013г.</t>
  </si>
  <si>
    <t>39.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</si>
</sst>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3" formatCode="_-* #,##0.00_р_._-;\-* #,##0.00_р_._-;_-* &quot;-&quot;??_р_._-;_-@_-"/>
    <numFmt numFmtId="164" formatCode="0.000"/>
    <numFmt numFmtId="165" formatCode="#,##0.000"/>
    <numFmt numFmtId="166" formatCode="_-* #,##0.0_р_._-;\-* #,##0.0_р_._-;_-* &quot;-&quot;??_р_._-;_-@_-"/>
    <numFmt numFmtId="167" formatCode="#,##0.0"/>
    <numFmt numFmtId="168" formatCode="_-* #,##0_р_._-;\-* #,##0_р_._-;_-* &quot;-&quot;??_р_._-;_-@_-"/>
    <numFmt numFmtId="169" formatCode="0.0"/>
    <numFmt numFmtId="170" formatCode="_-* #,##0.000_р_._-;\-* #,##0.000_р_._-;_-* &quot;-&quot;??_р_._-;_-@_-"/>
    <numFmt numFmtId="171" formatCode="dd\-mmm\-yy"/>
  </numFmts>
  <fonts count="43" x14ac:knownFonts="1">
    <font>
      <sz val="10"/>
      <name val="Arial"/>
    </font>
    <font>
      <sz val="10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sz val="9"/>
      <color indexed="8"/>
      <name val="Arial"/>
      <family val="2"/>
      <charset val="204"/>
    </font>
    <font>
      <sz val="10"/>
      <name val="Arial"/>
      <family val="2"/>
      <charset val="204"/>
    </font>
    <font>
      <sz val="9"/>
      <name val="Arial"/>
      <family val="2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b/>
      <sz val="10"/>
      <color indexed="53"/>
      <name val="Arial"/>
      <family val="2"/>
      <charset val="204"/>
    </font>
    <font>
      <b/>
      <sz val="9"/>
      <color indexed="53"/>
      <name val="Arial"/>
      <family val="2"/>
      <charset val="204"/>
    </font>
    <font>
      <b/>
      <sz val="9"/>
      <color indexed="53"/>
      <name val="Arial Cyr"/>
      <charset val="204"/>
    </font>
    <font>
      <b/>
      <sz val="10"/>
      <color indexed="12"/>
      <name val="Arial"/>
      <family val="2"/>
      <charset val="204"/>
    </font>
    <font>
      <b/>
      <sz val="9"/>
      <color indexed="12"/>
      <name val="Arial"/>
      <family val="2"/>
      <charset val="204"/>
    </font>
    <font>
      <b/>
      <sz val="9"/>
      <color indexed="12"/>
      <name val="Arial Cyr"/>
      <charset val="204"/>
    </font>
    <font>
      <b/>
      <sz val="10"/>
      <color indexed="60"/>
      <name val="Arial"/>
      <family val="2"/>
      <charset val="204"/>
    </font>
    <font>
      <b/>
      <sz val="9"/>
      <color indexed="60"/>
      <name val="Arial"/>
      <family val="2"/>
      <charset val="204"/>
    </font>
    <font>
      <sz val="9"/>
      <color rgb="FFFF0000"/>
      <name val="Arial"/>
      <family val="2"/>
      <charset val="204"/>
    </font>
    <font>
      <sz val="10"/>
      <color rgb="FFFF0000"/>
      <name val="Arial"/>
      <family val="2"/>
      <charset val="204"/>
    </font>
    <font>
      <sz val="9"/>
      <color theme="5" tint="0.39997558519241921"/>
      <name val="Arial"/>
      <family val="2"/>
      <charset val="204"/>
    </font>
    <font>
      <sz val="10"/>
      <color theme="5" tint="0.39997558519241921"/>
      <name val="Arial"/>
      <family val="2"/>
      <charset val="204"/>
    </font>
    <font>
      <sz val="9"/>
      <color theme="9" tint="-0.249977111117893"/>
      <name val="Arial"/>
      <family val="2"/>
      <charset val="204"/>
    </font>
    <font>
      <sz val="10"/>
      <color theme="9" tint="-0.249977111117893"/>
      <name val="Arial"/>
      <family val="2"/>
      <charset val="204"/>
    </font>
    <font>
      <sz val="9"/>
      <color theme="6" tint="-0.249977111117893"/>
      <name val="Arial"/>
      <family val="2"/>
      <charset val="204"/>
    </font>
    <font>
      <sz val="10"/>
      <color theme="6" tint="-0.249977111117893"/>
      <name val="Arial"/>
      <family val="2"/>
      <charset val="204"/>
    </font>
    <font>
      <b/>
      <sz val="9"/>
      <color indexed="8"/>
      <name val="Arial"/>
      <family val="2"/>
      <charset val="204"/>
    </font>
    <font>
      <b/>
      <sz val="10"/>
      <color indexed="8"/>
      <name val="Arial"/>
      <family val="2"/>
      <charset val="204"/>
    </font>
    <font>
      <sz val="9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b/>
      <sz val="9"/>
      <color theme="1"/>
      <name val="Arial"/>
      <family val="2"/>
      <charset val="204"/>
    </font>
    <font>
      <b/>
      <sz val="11"/>
      <color rgb="FFFF0000"/>
      <name val="Arial"/>
      <family val="2"/>
      <charset val="204"/>
    </font>
    <font>
      <b/>
      <sz val="9"/>
      <color indexed="20"/>
      <name val="Arial"/>
      <family val="2"/>
      <charset val="204"/>
    </font>
    <font>
      <b/>
      <sz val="9"/>
      <color indexed="57"/>
      <name val="Arial"/>
      <family val="2"/>
      <charset val="204"/>
    </font>
    <font>
      <b/>
      <sz val="9"/>
      <color indexed="52"/>
      <name val="Arial"/>
      <family val="2"/>
      <charset val="204"/>
    </font>
    <font>
      <b/>
      <sz val="10"/>
      <color indexed="20"/>
      <name val="Arial"/>
      <family val="2"/>
      <charset val="204"/>
    </font>
    <font>
      <b/>
      <sz val="10"/>
      <color indexed="57"/>
      <name val="Arial"/>
      <family val="2"/>
      <charset val="204"/>
    </font>
    <font>
      <b/>
      <sz val="10"/>
      <color indexed="52"/>
      <name val="Arial"/>
      <family val="2"/>
      <charset val="204"/>
    </font>
    <font>
      <b/>
      <sz val="9"/>
      <name val="Arial"/>
      <family val="2"/>
      <charset val="204"/>
    </font>
    <font>
      <b/>
      <sz val="9"/>
      <color indexed="17"/>
      <name val="Arial"/>
      <family val="2"/>
      <charset val="204"/>
    </font>
    <font>
      <b/>
      <sz val="9"/>
      <color indexed="10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10"/>
      <color theme="1" tint="4.9989318521683403E-2"/>
      <name val="Arial"/>
      <family val="2"/>
      <charset val="204"/>
    </font>
    <font>
      <b/>
      <sz val="9"/>
      <color rgb="FFFF0000"/>
      <name val="Arial"/>
      <family val="2"/>
      <charset val="204"/>
    </font>
  </fonts>
  <fills count="1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-0.249977111117893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5" fillId="0" borderId="0" applyFont="0" applyFill="0" applyBorder="0" applyAlignment="0" applyProtection="0"/>
  </cellStyleXfs>
  <cellXfs count="317">
    <xf numFmtId="0" fontId="0" fillId="0" borderId="0" xfId="0"/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164" fontId="4" fillId="2" borderId="1" xfId="0" applyNumberFormat="1" applyFont="1" applyFill="1" applyBorder="1" applyAlignment="1">
      <alignment horizontal="center" vertical="center"/>
    </xf>
    <xf numFmtId="0" fontId="6" fillId="0" borderId="1" xfId="0" applyNumberFormat="1" applyFont="1" applyFill="1" applyBorder="1" applyAlignment="1" applyProtection="1">
      <alignment vertical="center"/>
    </xf>
    <xf numFmtId="14" fontId="6" fillId="0" borderId="1" xfId="0" applyNumberFormat="1" applyFont="1" applyFill="1" applyBorder="1" applyAlignment="1" applyProtection="1">
      <alignment horizontal="left" vertical="center"/>
    </xf>
    <xf numFmtId="0" fontId="6" fillId="0" borderId="1" xfId="6" applyFont="1" applyFill="1" applyBorder="1" applyAlignment="1">
      <alignment vertical="center" wrapText="1"/>
    </xf>
    <xf numFmtId="0" fontId="6" fillId="3" borderId="1" xfId="6" applyFont="1" applyFill="1" applyBorder="1" applyAlignment="1">
      <alignment vertical="center" wrapText="1"/>
    </xf>
    <xf numFmtId="14" fontId="6" fillId="0" borderId="1" xfId="6" applyNumberFormat="1" applyFont="1" applyFill="1" applyBorder="1" applyAlignment="1">
      <alignment horizontal="left" vertical="center" wrapText="1"/>
    </xf>
    <xf numFmtId="0" fontId="6" fillId="0" borderId="1" xfId="5" applyFont="1" applyFill="1" applyBorder="1" applyAlignment="1">
      <alignment vertical="center"/>
    </xf>
    <xf numFmtId="14" fontId="6" fillId="0" borderId="1" xfId="5" applyNumberFormat="1" applyFont="1" applyFill="1" applyBorder="1" applyAlignment="1">
      <alignment horizontal="left" vertical="center"/>
    </xf>
    <xf numFmtId="0" fontId="6" fillId="0" borderId="1" xfId="0" applyFont="1" applyFill="1" applyBorder="1" applyAlignment="1">
      <alignment vertical="center" wrapText="1"/>
    </xf>
    <xf numFmtId="165" fontId="6" fillId="0" borderId="1" xfId="0" applyNumberFormat="1" applyFont="1" applyFill="1" applyBorder="1" applyAlignment="1">
      <alignment horizontal="right" vertical="center" wrapText="1"/>
    </xf>
    <xf numFmtId="14" fontId="6" fillId="0" borderId="1" xfId="0" applyNumberFormat="1" applyFont="1" applyFill="1" applyBorder="1" applyAlignment="1">
      <alignment horizontal="left" vertical="center" wrapText="1"/>
    </xf>
    <xf numFmtId="0" fontId="7" fillId="0" borderId="1" xfId="0" applyFont="1" applyFill="1" applyBorder="1"/>
    <xf numFmtId="0" fontId="7" fillId="0" borderId="1" xfId="0" applyNumberFormat="1" applyFont="1" applyFill="1" applyBorder="1"/>
    <xf numFmtId="49" fontId="7" fillId="0" borderId="1" xfId="0" applyNumberFormat="1" applyFont="1" applyFill="1" applyBorder="1"/>
    <xf numFmtId="0" fontId="7" fillId="0" borderId="1" xfId="0" applyFont="1" applyFill="1" applyBorder="1" applyAlignment="1"/>
    <xf numFmtId="0" fontId="7" fillId="0" borderId="1" xfId="0" applyFont="1" applyBorder="1"/>
    <xf numFmtId="0" fontId="7" fillId="0" borderId="1" xfId="0" applyNumberFormat="1" applyFont="1" applyBorder="1"/>
    <xf numFmtId="49" fontId="7" fillId="0" borderId="1" xfId="0" applyNumberFormat="1" applyFont="1" applyBorder="1"/>
    <xf numFmtId="14" fontId="7" fillId="0" borderId="1" xfId="0" applyNumberFormat="1" applyFont="1" applyBorder="1"/>
    <xf numFmtId="0" fontId="9" fillId="0" borderId="0" xfId="0" applyFont="1" applyAlignment="1">
      <alignment horizontal="center" wrapText="1"/>
    </xf>
    <xf numFmtId="164" fontId="10" fillId="4" borderId="1" xfId="0" applyNumberFormat="1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wrapText="1"/>
    </xf>
    <xf numFmtId="0" fontId="12" fillId="0" borderId="0" xfId="0" applyFont="1" applyAlignment="1">
      <alignment horizontal="center" wrapText="1"/>
    </xf>
    <xf numFmtId="164" fontId="13" fillId="4" borderId="1" xfId="0" applyNumberFormat="1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66" fontId="6" fillId="0" borderId="1" xfId="7" applyNumberFormat="1" applyFont="1" applyFill="1" applyBorder="1" applyAlignment="1" applyProtection="1">
      <alignment horizontal="right" vertical="center"/>
    </xf>
    <xf numFmtId="166" fontId="6" fillId="0" borderId="1" xfId="7" applyNumberFormat="1" applyFont="1" applyFill="1" applyBorder="1" applyAlignment="1">
      <alignment horizontal="right" vertical="center" wrapText="1"/>
    </xf>
    <xf numFmtId="166" fontId="6" fillId="0" borderId="1" xfId="5" applyNumberFormat="1" applyFont="1" applyFill="1" applyBorder="1" applyAlignment="1">
      <alignment horizontal="right" vertical="center"/>
    </xf>
    <xf numFmtId="166" fontId="3" fillId="0" borderId="0" xfId="0" applyNumberFormat="1" applyFont="1"/>
    <xf numFmtId="0" fontId="13" fillId="4" borderId="1" xfId="0" applyFont="1" applyFill="1" applyBorder="1" applyAlignment="1">
      <alignment horizontal="center" vertical="center" wrapText="1"/>
    </xf>
    <xf numFmtId="0" fontId="13" fillId="0" borderId="1" xfId="0" applyNumberFormat="1" applyFont="1" applyFill="1" applyBorder="1" applyAlignment="1" applyProtection="1">
      <alignment horizontal="center" vertical="center" wrapText="1"/>
    </xf>
    <xf numFmtId="0" fontId="13" fillId="0" borderId="1" xfId="6" applyFont="1" applyFill="1" applyBorder="1" applyAlignment="1">
      <alignment horizontal="center" vertical="center" wrapText="1"/>
    </xf>
    <xf numFmtId="0" fontId="13" fillId="0" borderId="1" xfId="5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0" borderId="1" xfId="0" applyNumberFormat="1" applyFont="1" applyFill="1" applyBorder="1" applyAlignment="1" applyProtection="1">
      <alignment horizontal="center" vertical="center" wrapText="1"/>
    </xf>
    <xf numFmtId="0" fontId="10" fillId="0" borderId="1" xfId="6" applyFont="1" applyFill="1" applyBorder="1" applyAlignment="1">
      <alignment horizontal="center" vertical="center" wrapText="1"/>
    </xf>
    <xf numFmtId="0" fontId="10" fillId="0" borderId="1" xfId="5" applyFont="1" applyFill="1" applyBorder="1" applyAlignment="1">
      <alignment horizontal="center" vertical="center" wrapText="1"/>
    </xf>
    <xf numFmtId="165" fontId="3" fillId="0" borderId="0" xfId="0" applyNumberFormat="1" applyFont="1"/>
    <xf numFmtId="165" fontId="13" fillId="0" borderId="1" xfId="0" applyNumberFormat="1" applyFont="1" applyFill="1" applyBorder="1" applyAlignment="1">
      <alignment horizontal="center" vertical="center" wrapText="1"/>
    </xf>
    <xf numFmtId="165" fontId="10" fillId="0" borderId="1" xfId="0" applyNumberFormat="1" applyFont="1" applyFill="1" applyBorder="1" applyAlignment="1">
      <alignment horizontal="center" vertical="center" wrapText="1"/>
    </xf>
    <xf numFmtId="167" fontId="6" fillId="0" borderId="1" xfId="0" applyNumberFormat="1" applyFont="1" applyFill="1" applyBorder="1" applyAlignment="1">
      <alignment horizontal="right" vertical="center" wrapText="1"/>
    </xf>
    <xf numFmtId="168" fontId="12" fillId="0" borderId="0" xfId="0" applyNumberFormat="1" applyFont="1"/>
    <xf numFmtId="167" fontId="13" fillId="0" borderId="1" xfId="0" applyNumberFormat="1" applyFont="1" applyFill="1" applyBorder="1" applyAlignment="1">
      <alignment horizontal="center" vertical="center" wrapText="1"/>
    </xf>
    <xf numFmtId="3" fontId="13" fillId="0" borderId="1" xfId="0" applyNumberFormat="1" applyFont="1" applyFill="1" applyBorder="1" applyAlignment="1">
      <alignment horizontal="center" vertical="center" wrapText="1"/>
    </xf>
    <xf numFmtId="167" fontId="10" fillId="0" borderId="1" xfId="0" applyNumberFormat="1" applyFont="1" applyFill="1" applyBorder="1" applyAlignment="1">
      <alignment horizontal="center" vertical="center" wrapText="1"/>
    </xf>
    <xf numFmtId="4" fontId="13" fillId="0" borderId="0" xfId="0" applyNumberFormat="1" applyFont="1" applyAlignment="1">
      <alignment horizontal="center"/>
    </xf>
    <xf numFmtId="3" fontId="13" fillId="0" borderId="0" xfId="0" applyNumberFormat="1" applyFont="1" applyAlignment="1">
      <alignment horizontal="center"/>
    </xf>
    <xf numFmtId="3" fontId="6" fillId="0" borderId="1" xfId="0" applyNumberFormat="1" applyFont="1" applyFill="1" applyBorder="1" applyAlignment="1">
      <alignment horizontal="right" vertical="center" wrapText="1"/>
    </xf>
    <xf numFmtId="3" fontId="6" fillId="0" borderId="1" xfId="0" applyNumberFormat="1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/>
    </xf>
    <xf numFmtId="3" fontId="16" fillId="0" borderId="1" xfId="0" applyNumberFormat="1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67" fontId="16" fillId="0" borderId="1" xfId="0" applyNumberFormat="1" applyFont="1" applyFill="1" applyBorder="1" applyAlignment="1">
      <alignment horizontal="center" vertical="center" wrapText="1"/>
    </xf>
    <xf numFmtId="165" fontId="16" fillId="0" borderId="1" xfId="0" applyNumberFormat="1" applyFont="1" applyFill="1" applyBorder="1" applyAlignment="1">
      <alignment horizontal="right" vertical="center" wrapText="1"/>
    </xf>
    <xf numFmtId="167" fontId="16" fillId="0" borderId="0" xfId="0" applyNumberFormat="1" applyFont="1" applyAlignment="1">
      <alignment horizontal="center"/>
    </xf>
    <xf numFmtId="3" fontId="3" fillId="0" borderId="0" xfId="0" applyNumberFormat="1" applyFont="1" applyAlignment="1">
      <alignment horizontal="center"/>
    </xf>
    <xf numFmtId="0" fontId="18" fillId="0" borderId="0" xfId="0" applyFont="1"/>
    <xf numFmtId="0" fontId="20" fillId="0" borderId="0" xfId="0" applyFont="1"/>
    <xf numFmtId="0" fontId="5" fillId="0" borderId="0" xfId="0" applyFont="1"/>
    <xf numFmtId="0" fontId="22" fillId="0" borderId="0" xfId="0" applyFont="1"/>
    <xf numFmtId="0" fontId="24" fillId="0" borderId="0" xfId="0" applyFont="1"/>
    <xf numFmtId="0" fontId="26" fillId="0" borderId="0" xfId="0" applyFont="1"/>
    <xf numFmtId="0" fontId="17" fillId="0" borderId="3" xfId="6" applyFont="1" applyFill="1" applyBorder="1" applyAlignment="1">
      <alignment vertical="center" wrapText="1"/>
    </xf>
    <xf numFmtId="0" fontId="21" fillId="0" borderId="3" xfId="6" applyFont="1" applyFill="1" applyBorder="1" applyAlignment="1">
      <alignment vertical="center" wrapText="1"/>
    </xf>
    <xf numFmtId="0" fontId="19" fillId="0" borderId="3" xfId="6" applyFont="1" applyFill="1" applyBorder="1" applyAlignment="1">
      <alignment vertical="center" wrapText="1"/>
    </xf>
    <xf numFmtId="0" fontId="23" fillId="0" borderId="3" xfId="6" applyFont="1" applyFill="1" applyBorder="1" applyAlignment="1">
      <alignment vertical="center" wrapText="1"/>
    </xf>
    <xf numFmtId="0" fontId="6" fillId="0" borderId="3" xfId="6" applyFont="1" applyFill="1" applyBorder="1" applyAlignment="1">
      <alignment vertical="center" wrapText="1"/>
    </xf>
    <xf numFmtId="0" fontId="27" fillId="5" borderId="1" xfId="6" applyFont="1" applyFill="1" applyBorder="1" applyAlignment="1">
      <alignment vertical="center" wrapText="1"/>
    </xf>
    <xf numFmtId="14" fontId="27" fillId="5" borderId="1" xfId="6" applyNumberFormat="1" applyFont="1" applyFill="1" applyBorder="1" applyAlignment="1">
      <alignment horizontal="left" vertical="center" wrapText="1"/>
    </xf>
    <xf numFmtId="0" fontId="28" fillId="5" borderId="1" xfId="0" applyFont="1" applyFill="1" applyBorder="1" applyAlignment="1">
      <alignment horizontal="center"/>
    </xf>
    <xf numFmtId="0" fontId="28" fillId="5" borderId="3" xfId="0" applyFont="1" applyFill="1" applyBorder="1" applyAlignment="1">
      <alignment horizontal="center"/>
    </xf>
    <xf numFmtId="0" fontId="28" fillId="5" borderId="12" xfId="0" applyFont="1" applyFill="1" applyBorder="1"/>
    <xf numFmtId="0" fontId="27" fillId="6" borderId="1" xfId="6" applyFont="1" applyFill="1" applyBorder="1" applyAlignment="1">
      <alignment vertical="center" wrapText="1"/>
    </xf>
    <xf numFmtId="0" fontId="28" fillId="6" borderId="12" xfId="0" applyFont="1" applyFill="1" applyBorder="1"/>
    <xf numFmtId="0" fontId="27" fillId="6" borderId="7" xfId="6" applyFont="1" applyFill="1" applyBorder="1" applyAlignment="1">
      <alignment vertical="center" wrapText="1"/>
    </xf>
    <xf numFmtId="14" fontId="27" fillId="6" borderId="1" xfId="6" applyNumberFormat="1" applyFont="1" applyFill="1" applyBorder="1" applyAlignment="1">
      <alignment horizontal="left" vertical="center" wrapText="1"/>
    </xf>
    <xf numFmtId="0" fontId="28" fillId="6" borderId="1" xfId="0" applyFont="1" applyFill="1" applyBorder="1" applyAlignment="1">
      <alignment horizontal="center"/>
    </xf>
    <xf numFmtId="0" fontId="28" fillId="6" borderId="3" xfId="0" applyFont="1" applyFill="1" applyBorder="1" applyAlignment="1">
      <alignment horizontal="center"/>
    </xf>
    <xf numFmtId="0" fontId="27" fillId="6" borderId="1" xfId="6" applyFont="1" applyFill="1" applyBorder="1" applyAlignment="1">
      <alignment horizontal="center" vertical="center" wrapText="1"/>
    </xf>
    <xf numFmtId="168" fontId="27" fillId="6" borderId="1" xfId="6" applyNumberFormat="1" applyFont="1" applyFill="1" applyBorder="1" applyAlignment="1">
      <alignment horizontal="center" vertical="center" wrapText="1"/>
    </xf>
    <xf numFmtId="0" fontId="27" fillId="5" borderId="7" xfId="6" applyFont="1" applyFill="1" applyBorder="1" applyAlignment="1">
      <alignment vertical="center" wrapText="1"/>
    </xf>
    <xf numFmtId="0" fontId="27" fillId="10" borderId="5" xfId="6" applyFont="1" applyFill="1" applyBorder="1" applyAlignment="1">
      <alignment vertical="center" wrapText="1"/>
    </xf>
    <xf numFmtId="0" fontId="27" fillId="10" borderId="6" xfId="6" applyFont="1" applyFill="1" applyBorder="1" applyAlignment="1">
      <alignment vertical="center" wrapText="1"/>
    </xf>
    <xf numFmtId="168" fontId="29" fillId="10" borderId="6" xfId="7" applyNumberFormat="1" applyFont="1" applyFill="1" applyBorder="1" applyAlignment="1">
      <alignment horizontal="center" vertical="center" wrapText="1"/>
    </xf>
    <xf numFmtId="14" fontId="27" fillId="10" borderId="6" xfId="6" applyNumberFormat="1" applyFont="1" applyFill="1" applyBorder="1" applyAlignment="1">
      <alignment horizontal="left" vertical="center" wrapText="1"/>
    </xf>
    <xf numFmtId="0" fontId="28" fillId="10" borderId="6" xfId="0" applyFont="1" applyFill="1" applyBorder="1" applyAlignment="1">
      <alignment horizontal="center"/>
    </xf>
    <xf numFmtId="0" fontId="28" fillId="10" borderId="10" xfId="0" applyFont="1" applyFill="1" applyBorder="1" applyAlignment="1">
      <alignment horizontal="center"/>
    </xf>
    <xf numFmtId="0" fontId="28" fillId="10" borderId="12" xfId="0" applyFont="1" applyFill="1" applyBorder="1"/>
    <xf numFmtId="0" fontId="27" fillId="10" borderId="7" xfId="6" applyFont="1" applyFill="1" applyBorder="1" applyAlignment="1">
      <alignment vertical="center" wrapText="1"/>
    </xf>
    <xf numFmtId="0" fontId="27" fillId="10" borderId="1" xfId="6" applyFont="1" applyFill="1" applyBorder="1" applyAlignment="1">
      <alignment vertical="center" wrapText="1"/>
    </xf>
    <xf numFmtId="1" fontId="27" fillId="10" borderId="1" xfId="6" applyNumberFormat="1" applyFont="1" applyFill="1" applyBorder="1" applyAlignment="1">
      <alignment horizontal="center" vertical="center" wrapText="1"/>
    </xf>
    <xf numFmtId="168" fontId="29" fillId="10" borderId="1" xfId="7" applyNumberFormat="1" applyFont="1" applyFill="1" applyBorder="1" applyAlignment="1">
      <alignment horizontal="center" vertical="center" wrapText="1"/>
    </xf>
    <xf numFmtId="14" fontId="27" fillId="10" borderId="1" xfId="6" applyNumberFormat="1" applyFont="1" applyFill="1" applyBorder="1" applyAlignment="1">
      <alignment horizontal="left" vertical="center" wrapText="1"/>
    </xf>
    <xf numFmtId="0" fontId="28" fillId="10" borderId="1" xfId="0" applyFont="1" applyFill="1" applyBorder="1" applyAlignment="1">
      <alignment horizontal="center"/>
    </xf>
    <xf numFmtId="0" fontId="28" fillId="10" borderId="3" xfId="0" applyFont="1" applyFill="1" applyBorder="1" applyAlignment="1">
      <alignment horizontal="center"/>
    </xf>
    <xf numFmtId="169" fontId="27" fillId="10" borderId="1" xfId="6" applyNumberFormat="1" applyFont="1" applyFill="1" applyBorder="1" applyAlignment="1">
      <alignment horizontal="center" vertical="center" wrapText="1"/>
    </xf>
    <xf numFmtId="0" fontId="27" fillId="10" borderId="1" xfId="5" applyFont="1" applyFill="1" applyBorder="1" applyAlignment="1">
      <alignment vertical="center"/>
    </xf>
    <xf numFmtId="0" fontId="27" fillId="10" borderId="2" xfId="6" applyFont="1" applyFill="1" applyBorder="1" applyAlignment="1">
      <alignment vertical="center" wrapText="1"/>
    </xf>
    <xf numFmtId="14" fontId="27" fillId="10" borderId="2" xfId="6" applyNumberFormat="1" applyFont="1" applyFill="1" applyBorder="1" applyAlignment="1">
      <alignment horizontal="left" vertical="center" wrapText="1"/>
    </xf>
    <xf numFmtId="0" fontId="28" fillId="10" borderId="2" xfId="0" applyFont="1" applyFill="1" applyBorder="1" applyAlignment="1">
      <alignment horizontal="center"/>
    </xf>
    <xf numFmtId="0" fontId="28" fillId="10" borderId="14" xfId="0" applyFont="1" applyFill="1" applyBorder="1" applyAlignment="1">
      <alignment horizontal="center"/>
    </xf>
    <xf numFmtId="0" fontId="28" fillId="5" borderId="1" xfId="6" applyFont="1" applyFill="1" applyBorder="1" applyAlignment="1">
      <alignment horizontal="center"/>
    </xf>
    <xf numFmtId="0" fontId="28" fillId="6" borderId="1" xfId="6" applyFont="1" applyFill="1" applyBorder="1" applyAlignment="1">
      <alignment horizontal="center"/>
    </xf>
    <xf numFmtId="0" fontId="28" fillId="10" borderId="6" xfId="6" applyFont="1" applyFill="1" applyBorder="1" applyAlignment="1">
      <alignment horizontal="center"/>
    </xf>
    <xf numFmtId="0" fontId="28" fillId="10" borderId="1" xfId="6" applyFont="1" applyFill="1" applyBorder="1" applyAlignment="1">
      <alignment horizontal="center"/>
    </xf>
    <xf numFmtId="168" fontId="28" fillId="5" borderId="1" xfId="6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Fill="1" applyBorder="1" applyAlignment="1">
      <alignment vertical="center" wrapText="1"/>
    </xf>
    <xf numFmtId="165" fontId="6" fillId="0" borderId="0" xfId="0" applyNumberFormat="1" applyFont="1" applyFill="1" applyBorder="1" applyAlignment="1">
      <alignment horizontal="right" vertical="center" wrapText="1"/>
    </xf>
    <xf numFmtId="0" fontId="31" fillId="2" borderId="1" xfId="0" applyFont="1" applyFill="1" applyBorder="1" applyAlignment="1">
      <alignment horizontal="center" vertical="center"/>
    </xf>
    <xf numFmtId="0" fontId="32" fillId="2" borderId="1" xfId="0" applyFont="1" applyFill="1" applyBorder="1" applyAlignment="1">
      <alignment horizontal="center" vertical="center"/>
    </xf>
    <xf numFmtId="0" fontId="33" fillId="4" borderId="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1" fillId="11" borderId="1" xfId="0" applyFont="1" applyFill="1" applyBorder="1"/>
    <xf numFmtId="0" fontId="1" fillId="11" borderId="1" xfId="0" applyFont="1" applyFill="1" applyBorder="1" applyAlignment="1">
      <alignment horizontal="center"/>
    </xf>
    <xf numFmtId="0" fontId="34" fillId="11" borderId="1" xfId="0" applyFont="1" applyFill="1" applyBorder="1"/>
    <xf numFmtId="0" fontId="35" fillId="11" borderId="1" xfId="0" applyFont="1" applyFill="1" applyBorder="1"/>
    <xf numFmtId="0" fontId="36" fillId="11" borderId="1" xfId="0" applyFont="1" applyFill="1" applyBorder="1" applyAlignment="1">
      <alignment horizontal="center" wrapText="1"/>
    </xf>
    <xf numFmtId="0" fontId="12" fillId="11" borderId="1" xfId="0" applyFont="1" applyFill="1" applyBorder="1" applyAlignment="1">
      <alignment horizontal="center" wrapText="1"/>
    </xf>
    <xf numFmtId="1" fontId="12" fillId="11" borderId="1" xfId="0" applyNumberFormat="1" applyFont="1" applyFill="1" applyBorder="1" applyAlignment="1">
      <alignment horizontal="center" wrapText="1"/>
    </xf>
    <xf numFmtId="0" fontId="1" fillId="11" borderId="1" xfId="0" applyFont="1" applyFill="1" applyBorder="1" applyAlignment="1">
      <alignment horizontal="left"/>
    </xf>
    <xf numFmtId="0" fontId="1" fillId="12" borderId="1" xfId="0" applyFont="1" applyFill="1" applyBorder="1"/>
    <xf numFmtId="0" fontId="1" fillId="12" borderId="1" xfId="0" applyFont="1" applyFill="1" applyBorder="1" applyAlignment="1">
      <alignment horizontal="center"/>
    </xf>
    <xf numFmtId="0" fontId="34" fillId="12" borderId="1" xfId="0" applyFont="1" applyFill="1" applyBorder="1"/>
    <xf numFmtId="0" fontId="35" fillId="12" borderId="1" xfId="0" applyFont="1" applyFill="1" applyBorder="1"/>
    <xf numFmtId="0" fontId="36" fillId="12" borderId="1" xfId="0" applyFont="1" applyFill="1" applyBorder="1" applyAlignment="1">
      <alignment horizontal="center" wrapText="1"/>
    </xf>
    <xf numFmtId="0" fontId="12" fillId="12" borderId="1" xfId="0" applyFont="1" applyFill="1" applyBorder="1" applyAlignment="1">
      <alignment horizontal="center" wrapText="1"/>
    </xf>
    <xf numFmtId="1" fontId="12" fillId="12" borderId="1" xfId="0" applyNumberFormat="1" applyFont="1" applyFill="1" applyBorder="1" applyAlignment="1">
      <alignment horizontal="center" wrapText="1"/>
    </xf>
    <xf numFmtId="0" fontId="1" fillId="12" borderId="1" xfId="0" applyFont="1" applyFill="1" applyBorder="1" applyAlignment="1">
      <alignment horizontal="left"/>
    </xf>
    <xf numFmtId="0" fontId="1" fillId="7" borderId="1" xfId="0" applyFont="1" applyFill="1" applyBorder="1"/>
    <xf numFmtId="0" fontId="1" fillId="7" borderId="1" xfId="0" applyFont="1" applyFill="1" applyBorder="1" applyAlignment="1">
      <alignment horizontal="center"/>
    </xf>
    <xf numFmtId="0" fontId="34" fillId="7" borderId="1" xfId="0" applyFont="1" applyFill="1" applyBorder="1"/>
    <xf numFmtId="0" fontId="35" fillId="7" borderId="1" xfId="0" applyFont="1" applyFill="1" applyBorder="1"/>
    <xf numFmtId="0" fontId="36" fillId="7" borderId="1" xfId="0" applyFont="1" applyFill="1" applyBorder="1" applyAlignment="1">
      <alignment horizontal="center" wrapText="1"/>
    </xf>
    <xf numFmtId="0" fontId="12" fillId="7" borderId="1" xfId="0" applyFont="1" applyFill="1" applyBorder="1" applyAlignment="1">
      <alignment horizontal="center" wrapText="1"/>
    </xf>
    <xf numFmtId="1" fontId="12" fillId="7" borderId="1" xfId="0" applyNumberFormat="1" applyFont="1" applyFill="1" applyBorder="1" applyAlignment="1">
      <alignment horizontal="center" wrapText="1"/>
    </xf>
    <xf numFmtId="0" fontId="1" fillId="7" borderId="1" xfId="0" applyFont="1" applyFill="1" applyBorder="1" applyAlignment="1">
      <alignment horizontal="left"/>
    </xf>
    <xf numFmtId="0" fontId="1" fillId="8" borderId="1" xfId="0" applyFont="1" applyFill="1" applyBorder="1"/>
    <xf numFmtId="0" fontId="1" fillId="8" borderId="1" xfId="0" applyFont="1" applyFill="1" applyBorder="1" applyAlignment="1">
      <alignment horizontal="center"/>
    </xf>
    <xf numFmtId="0" fontId="34" fillId="8" borderId="1" xfId="0" applyFont="1" applyFill="1" applyBorder="1"/>
    <xf numFmtId="0" fontId="35" fillId="8" borderId="1" xfId="0" applyFont="1" applyFill="1" applyBorder="1"/>
    <xf numFmtId="0" fontId="36" fillId="8" borderId="1" xfId="0" applyFont="1" applyFill="1" applyBorder="1" applyAlignment="1">
      <alignment horizontal="center" wrapText="1"/>
    </xf>
    <xf numFmtId="0" fontId="12" fillId="8" borderId="1" xfId="0" applyFont="1" applyFill="1" applyBorder="1" applyAlignment="1">
      <alignment horizontal="center" wrapText="1"/>
    </xf>
    <xf numFmtId="1" fontId="12" fillId="8" borderId="1" xfId="0" applyNumberFormat="1" applyFont="1" applyFill="1" applyBorder="1" applyAlignment="1">
      <alignment horizontal="center" wrapText="1"/>
    </xf>
    <xf numFmtId="0" fontId="1" fillId="8" borderId="1" xfId="0" applyFont="1" applyFill="1" applyBorder="1" applyAlignment="1">
      <alignment horizontal="left"/>
    </xf>
    <xf numFmtId="0" fontId="1" fillId="13" borderId="1" xfId="0" applyFont="1" applyFill="1" applyBorder="1"/>
    <xf numFmtId="0" fontId="1" fillId="13" borderId="1" xfId="0" applyFont="1" applyFill="1" applyBorder="1" applyAlignment="1">
      <alignment horizontal="center"/>
    </xf>
    <xf numFmtId="0" fontId="34" fillId="13" borderId="1" xfId="0" applyFont="1" applyFill="1" applyBorder="1"/>
    <xf numFmtId="0" fontId="35" fillId="13" borderId="1" xfId="0" applyFont="1" applyFill="1" applyBorder="1"/>
    <xf numFmtId="0" fontId="36" fillId="13" borderId="1" xfId="0" applyFont="1" applyFill="1" applyBorder="1" applyAlignment="1">
      <alignment horizontal="center" wrapText="1"/>
    </xf>
    <xf numFmtId="0" fontId="12" fillId="13" borderId="1" xfId="0" applyFont="1" applyFill="1" applyBorder="1" applyAlignment="1">
      <alignment horizontal="center" wrapText="1"/>
    </xf>
    <xf numFmtId="1" fontId="12" fillId="13" borderId="1" xfId="0" applyNumberFormat="1" applyFont="1" applyFill="1" applyBorder="1" applyAlignment="1">
      <alignment horizontal="center" wrapText="1"/>
    </xf>
    <xf numFmtId="0" fontId="1" fillId="13" borderId="1" xfId="0" applyFont="1" applyFill="1" applyBorder="1" applyAlignment="1">
      <alignment horizontal="left"/>
    </xf>
    <xf numFmtId="3" fontId="6" fillId="0" borderId="0" xfId="0" applyNumberFormat="1" applyFont="1" applyFill="1" applyBorder="1" applyAlignment="1">
      <alignment horizontal="right" vertical="center" wrapText="1"/>
    </xf>
    <xf numFmtId="167" fontId="16" fillId="0" borderId="0" xfId="0" applyNumberFormat="1" applyFont="1" applyFill="1" applyBorder="1" applyAlignment="1">
      <alignment horizontal="center" vertical="center" wrapText="1"/>
    </xf>
    <xf numFmtId="167" fontId="10" fillId="0" borderId="0" xfId="0" applyNumberFormat="1" applyFont="1" applyFill="1" applyBorder="1" applyAlignment="1">
      <alignment horizontal="center" vertical="center" wrapText="1"/>
    </xf>
    <xf numFmtId="3" fontId="13" fillId="0" borderId="0" xfId="0" applyNumberFormat="1" applyFont="1" applyFill="1" applyBorder="1" applyAlignment="1">
      <alignment horizontal="center" vertical="center" wrapText="1"/>
    </xf>
    <xf numFmtId="165" fontId="13" fillId="0" borderId="0" xfId="0" applyNumberFormat="1" applyFont="1" applyFill="1" applyBorder="1" applyAlignment="1">
      <alignment horizontal="center" vertical="center" wrapText="1"/>
    </xf>
    <xf numFmtId="14" fontId="6" fillId="0" borderId="0" xfId="0" applyNumberFormat="1" applyFont="1" applyFill="1" applyBorder="1" applyAlignment="1">
      <alignment horizontal="left" vertical="center" wrapText="1"/>
    </xf>
    <xf numFmtId="168" fontId="27" fillId="5" borderId="1" xfId="7" applyNumberFormat="1" applyFont="1" applyFill="1" applyBorder="1" applyAlignment="1">
      <alignment horizontal="center" vertical="center" wrapText="1"/>
    </xf>
    <xf numFmtId="168" fontId="27" fillId="6" borderId="1" xfId="7" applyNumberFormat="1" applyFont="1" applyFill="1" applyBorder="1" applyAlignment="1">
      <alignment horizontal="center" vertical="center" wrapText="1"/>
    </xf>
    <xf numFmtId="168" fontId="27" fillId="10" borderId="6" xfId="7" applyNumberFormat="1" applyFont="1" applyFill="1" applyBorder="1" applyAlignment="1">
      <alignment horizontal="center" vertical="center" wrapText="1"/>
    </xf>
    <xf numFmtId="168" fontId="27" fillId="10" borderId="1" xfId="7" applyNumberFormat="1" applyFont="1" applyFill="1" applyBorder="1" applyAlignment="1">
      <alignment horizontal="center" vertical="center" wrapText="1"/>
    </xf>
    <xf numFmtId="168" fontId="27" fillId="10" borderId="2" xfId="7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vertical="justify"/>
    </xf>
    <xf numFmtId="0" fontId="27" fillId="5" borderId="1" xfId="6" applyFont="1" applyFill="1" applyBorder="1" applyAlignment="1">
      <alignment vertical="justify" wrapText="1"/>
    </xf>
    <xf numFmtId="0" fontId="27" fillId="6" borderId="1" xfId="6" applyFont="1" applyFill="1" applyBorder="1" applyAlignment="1">
      <alignment vertical="justify" wrapText="1"/>
    </xf>
    <xf numFmtId="0" fontId="27" fillId="10" borderId="6" xfId="6" applyFont="1" applyFill="1" applyBorder="1" applyAlignment="1">
      <alignment vertical="justify" wrapText="1"/>
    </xf>
    <xf numFmtId="0" fontId="27" fillId="10" borderId="1" xfId="6" applyFont="1" applyFill="1" applyBorder="1" applyAlignment="1">
      <alignment vertical="justify" wrapText="1"/>
    </xf>
    <xf numFmtId="0" fontId="27" fillId="10" borderId="2" xfId="6" applyFont="1" applyFill="1" applyBorder="1" applyAlignment="1">
      <alignment vertical="justify" wrapText="1"/>
    </xf>
    <xf numFmtId="0" fontId="6" fillId="0" borderId="0" xfId="0" applyFont="1" applyFill="1" applyBorder="1" applyAlignment="1">
      <alignment vertical="justify" wrapText="1"/>
    </xf>
    <xf numFmtId="0" fontId="25" fillId="2" borderId="3" xfId="0" applyFont="1" applyFill="1" applyBorder="1" applyAlignment="1">
      <alignment horizontal="center" vertical="center"/>
    </xf>
    <xf numFmtId="0" fontId="27" fillId="10" borderId="8" xfId="6" applyFont="1" applyFill="1" applyBorder="1" applyAlignment="1">
      <alignment vertical="center" wrapText="1"/>
    </xf>
    <xf numFmtId="0" fontId="27" fillId="10" borderId="4" xfId="6" applyFont="1" applyFill="1" applyBorder="1" applyAlignment="1">
      <alignment vertical="center" wrapText="1"/>
    </xf>
    <xf numFmtId="168" fontId="27" fillId="10" borderId="4" xfId="7" applyNumberFormat="1" applyFont="1" applyFill="1" applyBorder="1" applyAlignment="1">
      <alignment horizontal="center" vertical="center" wrapText="1"/>
    </xf>
    <xf numFmtId="168" fontId="29" fillId="10" borderId="4" xfId="7" applyNumberFormat="1" applyFont="1" applyFill="1" applyBorder="1" applyAlignment="1">
      <alignment horizontal="center" vertical="center" wrapText="1"/>
    </xf>
    <xf numFmtId="0" fontId="28" fillId="10" borderId="4" xfId="6" applyFont="1" applyFill="1" applyBorder="1" applyAlignment="1">
      <alignment horizontal="center"/>
    </xf>
    <xf numFmtId="14" fontId="27" fillId="10" borderId="4" xfId="6" applyNumberFormat="1" applyFont="1" applyFill="1" applyBorder="1" applyAlignment="1">
      <alignment horizontal="left" vertical="center" wrapText="1"/>
    </xf>
    <xf numFmtId="0" fontId="27" fillId="10" borderId="4" xfId="6" applyFont="1" applyFill="1" applyBorder="1" applyAlignment="1">
      <alignment vertical="justify" wrapText="1"/>
    </xf>
    <xf numFmtId="0" fontId="28" fillId="10" borderId="4" xfId="0" applyFont="1" applyFill="1" applyBorder="1" applyAlignment="1">
      <alignment horizontal="center"/>
    </xf>
    <xf numFmtId="0" fontId="28" fillId="10" borderId="9" xfId="0" applyFont="1" applyFill="1" applyBorder="1" applyAlignment="1">
      <alignment horizontal="center"/>
    </xf>
    <xf numFmtId="0" fontId="28" fillId="10" borderId="18" xfId="0" applyFont="1" applyFill="1" applyBorder="1"/>
    <xf numFmtId="1" fontId="28" fillId="0" borderId="0" xfId="0" applyNumberFormat="1" applyFont="1" applyAlignment="1">
      <alignment horizontal="center"/>
    </xf>
    <xf numFmtId="169" fontId="27" fillId="10" borderId="2" xfId="6" applyNumberFormat="1" applyFont="1" applyFill="1" applyBorder="1" applyAlignment="1">
      <alignment horizontal="center" vertical="center" wrapText="1"/>
    </xf>
    <xf numFmtId="0" fontId="28" fillId="10" borderId="11" xfId="0" applyFont="1" applyFill="1" applyBorder="1"/>
    <xf numFmtId="1" fontId="27" fillId="10" borderId="6" xfId="6" applyNumberFormat="1" applyFont="1" applyFill="1" applyBorder="1" applyAlignment="1">
      <alignment horizontal="center" vertical="center" wrapText="1"/>
    </xf>
    <xf numFmtId="1" fontId="27" fillId="10" borderId="4" xfId="6" applyNumberFormat="1" applyFont="1" applyFill="1" applyBorder="1" applyAlignment="1">
      <alignment horizontal="center" vertical="center" wrapText="1"/>
    </xf>
    <xf numFmtId="168" fontId="37" fillId="10" borderId="1" xfId="7" applyNumberFormat="1" applyFont="1" applyFill="1" applyBorder="1" applyAlignment="1">
      <alignment horizontal="center" vertical="center" wrapText="1"/>
    </xf>
    <xf numFmtId="0" fontId="5" fillId="10" borderId="1" xfId="6" applyFont="1" applyFill="1" applyBorder="1" applyAlignment="1">
      <alignment horizontal="center"/>
    </xf>
    <xf numFmtId="168" fontId="37" fillId="10" borderId="2" xfId="7" applyNumberFormat="1" applyFont="1" applyFill="1" applyBorder="1" applyAlignment="1">
      <alignment horizontal="center" vertical="center" wrapText="1"/>
    </xf>
    <xf numFmtId="0" fontId="5" fillId="10" borderId="2" xfId="6" applyFont="1" applyFill="1" applyBorder="1" applyAlignment="1">
      <alignment horizontal="center"/>
    </xf>
    <xf numFmtId="0" fontId="27" fillId="5" borderId="7" xfId="6" applyFont="1" applyFill="1" applyBorder="1" applyAlignment="1">
      <alignment horizontal="left" vertical="center" wrapText="1"/>
    </xf>
    <xf numFmtId="0" fontId="4" fillId="2" borderId="20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164" fontId="4" fillId="2" borderId="21" xfId="0" applyNumberFormat="1" applyFont="1" applyFill="1" applyBorder="1" applyAlignment="1">
      <alignment horizontal="center" vertical="center"/>
    </xf>
    <xf numFmtId="164" fontId="10" fillId="4" borderId="21" xfId="0" applyNumberFormat="1" applyFont="1" applyFill="1" applyBorder="1" applyAlignment="1">
      <alignment horizontal="center" vertical="center" wrapText="1"/>
    </xf>
    <xf numFmtId="164" fontId="13" fillId="4" borderId="21" xfId="0" applyNumberFormat="1" applyFont="1" applyFill="1" applyBorder="1" applyAlignment="1">
      <alignment horizontal="center" vertical="center" wrapText="1"/>
    </xf>
    <xf numFmtId="0" fontId="1" fillId="14" borderId="21" xfId="0" applyFont="1" applyFill="1" applyBorder="1" applyAlignment="1">
      <alignment horizontal="center"/>
    </xf>
    <xf numFmtId="0" fontId="6" fillId="13" borderId="6" xfId="1" applyFont="1" applyFill="1" applyBorder="1" applyAlignment="1">
      <alignment vertical="center" wrapText="1"/>
    </xf>
    <xf numFmtId="168" fontId="6" fillId="13" borderId="6" xfId="1" applyNumberFormat="1" applyFont="1" applyFill="1" applyBorder="1" applyAlignment="1">
      <alignment horizontal="center" vertical="center" wrapText="1"/>
    </xf>
    <xf numFmtId="165" fontId="38" fillId="13" borderId="6" xfId="1" applyNumberFormat="1" applyFont="1" applyFill="1" applyBorder="1" applyAlignment="1">
      <alignment horizontal="center" vertical="center" wrapText="1"/>
    </xf>
    <xf numFmtId="0" fontId="39" fillId="13" borderId="6" xfId="1" applyFont="1" applyFill="1" applyBorder="1" applyAlignment="1">
      <alignment horizontal="center" vertical="center" wrapText="1"/>
    </xf>
    <xf numFmtId="0" fontId="13" fillId="13" borderId="6" xfId="1" applyFont="1" applyFill="1" applyBorder="1" applyAlignment="1">
      <alignment horizontal="center" vertical="center" wrapText="1"/>
    </xf>
    <xf numFmtId="0" fontId="6" fillId="13" borderId="6" xfId="1" applyFont="1" applyFill="1" applyBorder="1" applyAlignment="1">
      <alignment vertical="justify" wrapText="1"/>
    </xf>
    <xf numFmtId="0" fontId="1" fillId="13" borderId="6" xfId="0" applyFont="1" applyFill="1" applyBorder="1" applyAlignment="1">
      <alignment horizontal="center"/>
    </xf>
    <xf numFmtId="0" fontId="1" fillId="13" borderId="15" xfId="0" applyFont="1" applyFill="1" applyBorder="1"/>
    <xf numFmtId="0" fontId="6" fillId="13" borderId="7" xfId="1" applyFont="1" applyFill="1" applyBorder="1" applyAlignment="1">
      <alignment vertical="center" wrapText="1"/>
    </xf>
    <xf numFmtId="0" fontId="6" fillId="13" borderId="1" xfId="1" applyFont="1" applyFill="1" applyBorder="1" applyAlignment="1">
      <alignment vertical="center" wrapText="1"/>
    </xf>
    <xf numFmtId="168" fontId="6" fillId="13" borderId="1" xfId="1" applyNumberFormat="1" applyFont="1" applyFill="1" applyBorder="1" applyAlignment="1">
      <alignment horizontal="center" vertical="center" wrapText="1"/>
    </xf>
    <xf numFmtId="3" fontId="38" fillId="13" borderId="1" xfId="1" applyNumberFormat="1" applyFont="1" applyFill="1" applyBorder="1" applyAlignment="1">
      <alignment horizontal="center" vertical="center" wrapText="1"/>
    </xf>
    <xf numFmtId="0" fontId="39" fillId="13" borderId="1" xfId="1" applyFont="1" applyFill="1" applyBorder="1" applyAlignment="1">
      <alignment horizontal="center" vertical="center" wrapText="1"/>
    </xf>
    <xf numFmtId="0" fontId="13" fillId="13" borderId="1" xfId="1" applyFont="1" applyFill="1" applyBorder="1" applyAlignment="1">
      <alignment horizontal="center" vertical="center" wrapText="1"/>
    </xf>
    <xf numFmtId="0" fontId="6" fillId="13" borderId="1" xfId="1" applyFont="1" applyFill="1" applyBorder="1" applyAlignment="1">
      <alignment vertical="justify" wrapText="1"/>
    </xf>
    <xf numFmtId="0" fontId="1" fillId="13" borderId="16" xfId="0" applyFont="1" applyFill="1" applyBorder="1"/>
    <xf numFmtId="0" fontId="6" fillId="15" borderId="8" xfId="1" applyFont="1" applyFill="1" applyBorder="1" applyAlignment="1">
      <alignment vertical="center" wrapText="1"/>
    </xf>
    <xf numFmtId="0" fontId="6" fillId="15" borderId="4" xfId="1" applyFont="1" applyFill="1" applyBorder="1" applyAlignment="1">
      <alignment vertical="center" wrapText="1"/>
    </xf>
    <xf numFmtId="168" fontId="6" fillId="15" borderId="4" xfId="1" applyNumberFormat="1" applyFont="1" applyFill="1" applyBorder="1" applyAlignment="1">
      <alignment horizontal="center" vertical="center" wrapText="1"/>
    </xf>
    <xf numFmtId="165" fontId="38" fillId="15" borderId="4" xfId="1" applyNumberFormat="1" applyFont="1" applyFill="1" applyBorder="1" applyAlignment="1">
      <alignment horizontal="center" vertical="center" wrapText="1"/>
    </xf>
    <xf numFmtId="0" fontId="39" fillId="15" borderId="4" xfId="1" applyFont="1" applyFill="1" applyBorder="1" applyAlignment="1">
      <alignment horizontal="center" vertical="center" wrapText="1"/>
    </xf>
    <xf numFmtId="0" fontId="13" fillId="15" borderId="4" xfId="1" applyFont="1" applyFill="1" applyBorder="1" applyAlignment="1">
      <alignment horizontal="center" vertical="center" wrapText="1"/>
    </xf>
    <xf numFmtId="0" fontId="6" fillId="15" borderId="4" xfId="1" applyFont="1" applyFill="1" applyBorder="1" applyAlignment="1">
      <alignment vertical="justify" wrapText="1"/>
    </xf>
    <xf numFmtId="0" fontId="1" fillId="15" borderId="4" xfId="0" applyFont="1" applyFill="1" applyBorder="1" applyAlignment="1">
      <alignment horizontal="center"/>
    </xf>
    <xf numFmtId="0" fontId="1" fillId="15" borderId="17" xfId="0" applyFont="1" applyFill="1" applyBorder="1"/>
    <xf numFmtId="0" fontId="4" fillId="9" borderId="13" xfId="0" applyFont="1" applyFill="1" applyBorder="1"/>
    <xf numFmtId="0" fontId="4" fillId="9" borderId="2" xfId="0" applyFont="1" applyFill="1" applyBorder="1"/>
    <xf numFmtId="168" fontId="4" fillId="9" borderId="2" xfId="7" applyNumberFormat="1" applyFont="1" applyFill="1" applyBorder="1" applyAlignment="1">
      <alignment horizontal="center" vertical="center"/>
    </xf>
    <xf numFmtId="170" fontId="4" fillId="9" borderId="2" xfId="7" applyNumberFormat="1" applyFont="1" applyFill="1" applyBorder="1" applyAlignment="1">
      <alignment horizontal="right" vertical="center"/>
    </xf>
    <xf numFmtId="0" fontId="10" fillId="9" borderId="2" xfId="0" applyFont="1" applyFill="1" applyBorder="1" applyAlignment="1">
      <alignment horizontal="center" wrapText="1"/>
    </xf>
    <xf numFmtId="0" fontId="13" fillId="9" borderId="2" xfId="0" applyFont="1" applyFill="1" applyBorder="1" applyAlignment="1">
      <alignment horizontal="center" wrapText="1"/>
    </xf>
    <xf numFmtId="171" fontId="4" fillId="9" borderId="2" xfId="0" applyNumberFormat="1" applyFont="1" applyFill="1" applyBorder="1" applyAlignment="1">
      <alignment horizontal="right" vertical="center"/>
    </xf>
    <xf numFmtId="0" fontId="4" fillId="9" borderId="2" xfId="0" applyFont="1" applyFill="1" applyBorder="1" applyAlignment="1">
      <alignment vertical="justify"/>
    </xf>
    <xf numFmtId="0" fontId="1" fillId="9" borderId="2" xfId="0" applyFont="1" applyFill="1" applyBorder="1" applyAlignment="1">
      <alignment horizontal="center"/>
    </xf>
    <xf numFmtId="0" fontId="1" fillId="9" borderId="19" xfId="0" applyFont="1" applyFill="1" applyBorder="1"/>
    <xf numFmtId="0" fontId="4" fillId="9" borderId="7" xfId="0" applyFont="1" applyFill="1" applyBorder="1"/>
    <xf numFmtId="0" fontId="4" fillId="9" borderId="1" xfId="0" applyFont="1" applyFill="1" applyBorder="1"/>
    <xf numFmtId="168" fontId="4" fillId="9" borderId="1" xfId="7" applyNumberFormat="1" applyFont="1" applyFill="1" applyBorder="1" applyAlignment="1">
      <alignment horizontal="center" vertical="center"/>
    </xf>
    <xf numFmtId="170" fontId="4" fillId="9" borderId="1" xfId="7" applyNumberFormat="1" applyFont="1" applyFill="1" applyBorder="1" applyAlignment="1">
      <alignment horizontal="right" vertical="center"/>
    </xf>
    <xf numFmtId="0" fontId="10" fillId="9" borderId="1" xfId="0" applyFont="1" applyFill="1" applyBorder="1" applyAlignment="1">
      <alignment horizontal="center" wrapText="1"/>
    </xf>
    <xf numFmtId="0" fontId="13" fillId="9" borderId="1" xfId="0" applyFont="1" applyFill="1" applyBorder="1" applyAlignment="1">
      <alignment horizontal="center" wrapText="1"/>
    </xf>
    <xf numFmtId="171" fontId="4" fillId="9" borderId="1" xfId="0" applyNumberFormat="1" applyFont="1" applyFill="1" applyBorder="1" applyAlignment="1">
      <alignment horizontal="right" vertical="center"/>
    </xf>
    <xf numFmtId="0" fontId="4" fillId="9" borderId="1" xfId="0" applyFont="1" applyFill="1" applyBorder="1" applyAlignment="1">
      <alignment vertical="justify"/>
    </xf>
    <xf numFmtId="0" fontId="1" fillId="9" borderId="1" xfId="0" applyFont="1" applyFill="1" applyBorder="1" applyAlignment="1">
      <alignment horizontal="center"/>
    </xf>
    <xf numFmtId="0" fontId="1" fillId="9" borderId="16" xfId="0" applyFont="1" applyFill="1" applyBorder="1"/>
    <xf numFmtId="0" fontId="1" fillId="0" borderId="0" xfId="0" applyFont="1"/>
    <xf numFmtId="0" fontId="4" fillId="13" borderId="23" xfId="0" applyFont="1" applyFill="1" applyBorder="1"/>
    <xf numFmtId="168" fontId="4" fillId="13" borderId="23" xfId="7" applyNumberFormat="1" applyFont="1" applyFill="1" applyBorder="1" applyAlignment="1">
      <alignment horizontal="center" vertical="center"/>
    </xf>
    <xf numFmtId="170" fontId="4" fillId="13" borderId="23" xfId="7" applyNumberFormat="1" applyFont="1" applyFill="1" applyBorder="1" applyAlignment="1">
      <alignment horizontal="right" vertical="center"/>
    </xf>
    <xf numFmtId="0" fontId="10" fillId="13" borderId="23" xfId="0" applyFont="1" applyFill="1" applyBorder="1" applyAlignment="1">
      <alignment horizontal="center" wrapText="1"/>
    </xf>
    <xf numFmtId="0" fontId="13" fillId="13" borderId="23" xfId="0" applyFont="1" applyFill="1" applyBorder="1" applyAlignment="1">
      <alignment horizontal="center" wrapText="1"/>
    </xf>
    <xf numFmtId="171" fontId="4" fillId="13" borderId="23" xfId="0" applyNumberFormat="1" applyFont="1" applyFill="1" applyBorder="1" applyAlignment="1">
      <alignment horizontal="right" vertical="center"/>
    </xf>
    <xf numFmtId="0" fontId="4" fillId="13" borderId="23" xfId="0" applyFont="1" applyFill="1" applyBorder="1" applyAlignment="1">
      <alignment vertical="justify"/>
    </xf>
    <xf numFmtId="0" fontId="1" fillId="13" borderId="23" xfId="0" applyFont="1" applyFill="1" applyBorder="1" applyAlignment="1">
      <alignment horizontal="center"/>
    </xf>
    <xf numFmtId="0" fontId="1" fillId="13" borderId="24" xfId="0" applyFont="1" applyFill="1" applyBorder="1"/>
    <xf numFmtId="0" fontId="30" fillId="13" borderId="5" xfId="1" applyFont="1" applyFill="1" applyBorder="1" applyAlignment="1">
      <alignment vertical="center" wrapText="1"/>
    </xf>
    <xf numFmtId="0" fontId="30" fillId="13" borderId="22" xfId="0" applyFont="1" applyFill="1" applyBorder="1"/>
    <xf numFmtId="0" fontId="6" fillId="6" borderId="7" xfId="6" applyFont="1" applyFill="1" applyBorder="1" applyAlignment="1">
      <alignment vertical="center" wrapText="1"/>
    </xf>
    <xf numFmtId="0" fontId="27" fillId="6" borderId="25" xfId="6" applyFont="1" applyFill="1" applyBorder="1" applyAlignment="1">
      <alignment vertical="center" wrapText="1"/>
    </xf>
    <xf numFmtId="0" fontId="27" fillId="6" borderId="25" xfId="6" applyFont="1" applyFill="1" applyBorder="1" applyAlignment="1">
      <alignment vertical="justify" wrapText="1"/>
    </xf>
    <xf numFmtId="0" fontId="28" fillId="6" borderId="25" xfId="0" applyFont="1" applyFill="1" applyBorder="1" applyAlignment="1">
      <alignment horizontal="center"/>
    </xf>
    <xf numFmtId="0" fontId="28" fillId="6" borderId="26" xfId="0" applyFont="1" applyFill="1" applyBorder="1" applyAlignment="1">
      <alignment horizontal="center"/>
    </xf>
    <xf numFmtId="0" fontId="6" fillId="0" borderId="3" xfId="6" applyFont="1" applyFill="1" applyBorder="1" applyAlignment="1">
      <alignment horizontal="left" vertical="center" wrapText="1"/>
    </xf>
    <xf numFmtId="168" fontId="27" fillId="5" borderId="1" xfId="7" applyNumberFormat="1" applyFont="1" applyFill="1" applyBorder="1" applyAlignment="1">
      <alignment horizontal="left" vertical="center" wrapText="1"/>
    </xf>
    <xf numFmtId="0" fontId="27" fillId="5" borderId="1" xfId="6" applyFont="1" applyFill="1" applyBorder="1" applyAlignment="1">
      <alignment horizontal="left" vertical="center" wrapText="1"/>
    </xf>
    <xf numFmtId="0" fontId="27" fillId="5" borderId="1" xfId="6" applyFont="1" applyFill="1" applyBorder="1" applyAlignment="1">
      <alignment horizontal="left" vertical="justify" wrapText="1"/>
    </xf>
    <xf numFmtId="0" fontId="28" fillId="5" borderId="1" xfId="0" applyFont="1" applyFill="1" applyBorder="1" applyAlignment="1">
      <alignment horizontal="left"/>
    </xf>
    <xf numFmtId="0" fontId="28" fillId="5" borderId="3" xfId="0" applyFont="1" applyFill="1" applyBorder="1" applyAlignment="1">
      <alignment horizontal="left"/>
    </xf>
    <xf numFmtId="0" fontId="5" fillId="0" borderId="0" xfId="0" applyFont="1" applyAlignment="1">
      <alignment horizontal="left"/>
    </xf>
    <xf numFmtId="0" fontId="27" fillId="6" borderId="2" xfId="6" applyFont="1" applyFill="1" applyBorder="1" applyAlignment="1">
      <alignment vertical="center" wrapText="1"/>
    </xf>
    <xf numFmtId="0" fontId="28" fillId="6" borderId="16" xfId="0" applyFont="1" applyFill="1" applyBorder="1" applyAlignment="1">
      <alignment horizontal="center"/>
    </xf>
    <xf numFmtId="0" fontId="41" fillId="10" borderId="2" xfId="0" applyFont="1" applyFill="1" applyBorder="1" applyAlignment="1">
      <alignment horizontal="center"/>
    </xf>
    <xf numFmtId="0" fontId="41" fillId="10" borderId="1" xfId="0" applyFont="1" applyFill="1" applyBorder="1" applyAlignment="1">
      <alignment horizontal="center"/>
    </xf>
    <xf numFmtId="0" fontId="1" fillId="13" borderId="0" xfId="0" applyFont="1" applyFill="1"/>
    <xf numFmtId="0" fontId="25" fillId="2" borderId="20" xfId="0" applyFont="1" applyFill="1" applyBorder="1" applyAlignment="1">
      <alignment horizontal="center" vertical="center"/>
    </xf>
    <xf numFmtId="0" fontId="25" fillId="2" borderId="21" xfId="0" applyFont="1" applyFill="1" applyBorder="1" applyAlignment="1">
      <alignment horizontal="center" vertical="center"/>
    </xf>
    <xf numFmtId="164" fontId="25" fillId="2" borderId="21" xfId="0" applyNumberFormat="1" applyFont="1" applyFill="1" applyBorder="1" applyAlignment="1">
      <alignment horizontal="center" vertical="center"/>
    </xf>
    <xf numFmtId="0" fontId="25" fillId="2" borderId="21" xfId="0" applyFont="1" applyFill="1" applyBorder="1" applyAlignment="1">
      <alignment horizontal="center" vertical="center" wrapText="1"/>
    </xf>
    <xf numFmtId="0" fontId="25" fillId="2" borderId="21" xfId="0" applyFont="1" applyFill="1" applyBorder="1" applyAlignment="1">
      <alignment horizontal="center" vertical="justify"/>
    </xf>
    <xf numFmtId="0" fontId="5" fillId="0" borderId="21" xfId="0" applyFont="1" applyBorder="1" applyAlignment="1">
      <alignment horizontal="center"/>
    </xf>
    <xf numFmtId="0" fontId="5" fillId="0" borderId="27" xfId="0" applyFont="1" applyBorder="1" applyAlignment="1">
      <alignment horizontal="center"/>
    </xf>
    <xf numFmtId="0" fontId="26" fillId="0" borderId="28" xfId="0" applyFont="1" applyBorder="1"/>
    <xf numFmtId="0" fontId="27" fillId="6" borderId="13" xfId="6" applyFont="1" applyFill="1" applyBorder="1" applyAlignment="1">
      <alignment vertical="center" wrapText="1"/>
    </xf>
    <xf numFmtId="168" fontId="27" fillId="6" borderId="2" xfId="7" applyNumberFormat="1" applyFont="1" applyFill="1" applyBorder="1" applyAlignment="1">
      <alignment horizontal="center" vertical="center" wrapText="1"/>
    </xf>
    <xf numFmtId="166" fontId="27" fillId="6" borderId="2" xfId="6" applyNumberFormat="1" applyFont="1" applyFill="1" applyBorder="1" applyAlignment="1">
      <alignment horizontal="center" vertical="center" wrapText="1"/>
    </xf>
    <xf numFmtId="0" fontId="28" fillId="6" borderId="2" xfId="0" applyFont="1" applyFill="1" applyBorder="1" applyAlignment="1">
      <alignment horizontal="center"/>
    </xf>
    <xf numFmtId="0" fontId="28" fillId="6" borderId="2" xfId="6" applyFont="1" applyFill="1" applyBorder="1" applyAlignment="1">
      <alignment horizontal="center"/>
    </xf>
    <xf numFmtId="14" fontId="27" fillId="6" borderId="2" xfId="6" applyNumberFormat="1" applyFont="1" applyFill="1" applyBorder="1" applyAlignment="1">
      <alignment horizontal="left" vertical="center" wrapText="1"/>
    </xf>
    <xf numFmtId="0" fontId="27" fillId="6" borderId="2" xfId="6" applyFont="1" applyFill="1" applyBorder="1" applyAlignment="1">
      <alignment vertical="justify" wrapText="1"/>
    </xf>
    <xf numFmtId="0" fontId="28" fillId="6" borderId="14" xfId="0" applyFont="1" applyFill="1" applyBorder="1" applyAlignment="1">
      <alignment horizontal="center"/>
    </xf>
    <xf numFmtId="0" fontId="28" fillId="6" borderId="29" xfId="0" applyFont="1" applyFill="1" applyBorder="1"/>
    <xf numFmtId="0" fontId="27" fillId="5" borderId="5" xfId="6" applyFont="1" applyFill="1" applyBorder="1" applyAlignment="1">
      <alignment vertical="center" wrapText="1"/>
    </xf>
    <xf numFmtId="0" fontId="27" fillId="5" borderId="6" xfId="6" applyFont="1" applyFill="1" applyBorder="1" applyAlignment="1">
      <alignment vertical="center" wrapText="1"/>
    </xf>
    <xf numFmtId="168" fontId="27" fillId="5" borderId="6" xfId="7" applyNumberFormat="1" applyFont="1" applyFill="1" applyBorder="1" applyAlignment="1">
      <alignment horizontal="center" vertical="center" wrapText="1"/>
    </xf>
    <xf numFmtId="168" fontId="28" fillId="5" borderId="6" xfId="6" applyNumberFormat="1" applyFont="1" applyFill="1" applyBorder="1" applyAlignment="1">
      <alignment horizontal="center" vertical="center"/>
    </xf>
    <xf numFmtId="0" fontId="28" fillId="5" borderId="6" xfId="0" applyFont="1" applyFill="1" applyBorder="1" applyAlignment="1">
      <alignment horizontal="center"/>
    </xf>
    <xf numFmtId="0" fontId="28" fillId="5" borderId="6" xfId="6" applyFont="1" applyFill="1" applyBorder="1" applyAlignment="1">
      <alignment horizontal="center"/>
    </xf>
    <xf numFmtId="14" fontId="27" fillId="5" borderId="6" xfId="6" applyNumberFormat="1" applyFont="1" applyFill="1" applyBorder="1" applyAlignment="1">
      <alignment horizontal="left" vertical="center" wrapText="1"/>
    </xf>
    <xf numFmtId="0" fontId="27" fillId="5" borderId="6" xfId="6" applyFont="1" applyFill="1" applyBorder="1" applyAlignment="1">
      <alignment vertical="justify" wrapText="1"/>
    </xf>
    <xf numFmtId="0" fontId="28" fillId="5" borderId="10" xfId="0" applyFont="1" applyFill="1" applyBorder="1" applyAlignment="1">
      <alignment horizontal="center"/>
    </xf>
    <xf numFmtId="0" fontId="28" fillId="5" borderId="11" xfId="0" applyFont="1" applyFill="1" applyBorder="1"/>
    <xf numFmtId="168" fontId="27" fillId="5" borderId="7" xfId="7" applyNumberFormat="1" applyFont="1" applyFill="1" applyBorder="1" applyAlignment="1">
      <alignment horizontal="left" vertical="center" wrapText="1"/>
    </xf>
    <xf numFmtId="168" fontId="27" fillId="5" borderId="4" xfId="7" applyNumberFormat="1" applyFont="1" applyFill="1" applyBorder="1" applyAlignment="1">
      <alignment horizontal="left" vertical="center" wrapText="1"/>
    </xf>
    <xf numFmtId="14" fontId="27" fillId="5" borderId="4" xfId="6" applyNumberFormat="1" applyFont="1" applyFill="1" applyBorder="1" applyAlignment="1">
      <alignment horizontal="left" vertical="center" wrapText="1"/>
    </xf>
    <xf numFmtId="0" fontId="28" fillId="5" borderId="18" xfId="0" applyFont="1" applyFill="1" applyBorder="1"/>
    <xf numFmtId="0" fontId="42" fillId="5" borderId="7" xfId="6" applyFont="1" applyFill="1" applyBorder="1" applyAlignment="1">
      <alignment vertical="center" wrapText="1"/>
    </xf>
    <xf numFmtId="0" fontId="42" fillId="5" borderId="1" xfId="6" applyFont="1" applyFill="1" applyBorder="1" applyAlignment="1">
      <alignment vertical="center" wrapText="1"/>
    </xf>
    <xf numFmtId="0" fontId="40" fillId="5" borderId="12" xfId="0" applyFont="1" applyFill="1" applyBorder="1"/>
    <xf numFmtId="0" fontId="40" fillId="6" borderId="29" xfId="0" applyFont="1" applyFill="1" applyBorder="1"/>
    <xf numFmtId="0" fontId="42" fillId="6" borderId="7" xfId="6" applyFont="1" applyFill="1" applyBorder="1" applyAlignment="1">
      <alignment vertical="center" wrapText="1"/>
    </xf>
    <xf numFmtId="0" fontId="42" fillId="6" borderId="1" xfId="6" applyFont="1" applyFill="1" applyBorder="1" applyAlignment="1">
      <alignment vertical="center" wrapText="1"/>
    </xf>
    <xf numFmtId="168" fontId="42" fillId="6" borderId="1" xfId="7" applyNumberFormat="1" applyFont="1" applyFill="1" applyBorder="1" applyAlignment="1">
      <alignment horizontal="center" vertical="center" wrapText="1"/>
    </xf>
  </cellXfs>
  <cellStyles count="8">
    <cellStyle name="Обычный" xfId="0" builtinId="0"/>
    <cellStyle name="Обычный 2" xfId="1"/>
    <cellStyle name="Обычный 3" xfId="2"/>
    <cellStyle name="Обычный 3 2" xfId="3"/>
    <cellStyle name="Обычный 4" xfId="4"/>
    <cellStyle name="Обычный_Лист1" xfId="5"/>
    <cellStyle name="Обычный_ПП (18-03-13) кор.0" xfId="6"/>
    <cellStyle name="Финансовый" xfId="7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W48"/>
  <sheetViews>
    <sheetView tabSelected="1" topLeftCell="B1" workbookViewId="0">
      <pane xSplit="11" topLeftCell="AD1" activePane="topRight" state="frozen"/>
      <selection activeCell="B1" sqref="B1"/>
      <selection pane="topRight" activeCell="L13" sqref="L13"/>
    </sheetView>
  </sheetViews>
  <sheetFormatPr defaultRowHeight="12.75" x14ac:dyDescent="0.2"/>
  <cols>
    <col min="1" max="1" width="18" style="1" hidden="1" customWidth="1"/>
    <col min="2" max="2" width="8" style="1" customWidth="1"/>
    <col min="3" max="3" width="10.140625" style="1" customWidth="1"/>
    <col min="4" max="4" width="8.42578125" style="1" customWidth="1"/>
    <col min="5" max="5" width="19.28515625" style="1" customWidth="1"/>
    <col min="6" max="6" width="9" style="1" customWidth="1"/>
    <col min="7" max="7" width="4.28515625" style="1" customWidth="1"/>
    <col min="8" max="8" width="4.5703125" style="1" customWidth="1"/>
    <col min="9" max="9" width="6.42578125" style="1" customWidth="1"/>
    <col min="10" max="10" width="8.28515625" style="1" customWidth="1"/>
    <col min="11" max="11" width="4.7109375" style="1" customWidth="1"/>
    <col min="12" max="12" width="4.85546875" style="1" customWidth="1"/>
    <col min="13" max="14" width="14" style="1" customWidth="1"/>
    <col min="15" max="15" width="13.140625" style="1" customWidth="1"/>
    <col min="16" max="16" width="15" style="1" customWidth="1"/>
    <col min="17" max="17" width="9.7109375" style="1" customWidth="1"/>
    <col min="18" max="18" width="19.85546875" style="171" customWidth="1"/>
    <col min="19" max="48" width="5.28515625" style="28" customWidth="1"/>
    <col min="49" max="16384" width="9.140625" style="1"/>
  </cols>
  <sheetData>
    <row r="1" spans="1:49" ht="13.5" thickBot="1" x14ac:dyDescent="0.25">
      <c r="B1" s="250" t="s">
        <v>259</v>
      </c>
    </row>
    <row r="2" spans="1:49" s="66" customFormat="1" ht="36" customHeight="1" thickBot="1" x14ac:dyDescent="0.25">
      <c r="A2" s="178" t="s">
        <v>0</v>
      </c>
      <c r="B2" s="279" t="s">
        <v>223</v>
      </c>
      <c r="C2" s="280" t="s">
        <v>2</v>
      </c>
      <c r="D2" s="280" t="s">
        <v>3</v>
      </c>
      <c r="E2" s="280" t="s">
        <v>4</v>
      </c>
      <c r="F2" s="281" t="s">
        <v>5</v>
      </c>
      <c r="G2" s="280" t="s">
        <v>14</v>
      </c>
      <c r="H2" s="280" t="s">
        <v>15</v>
      </c>
      <c r="I2" s="280" t="s">
        <v>207</v>
      </c>
      <c r="J2" s="282" t="s">
        <v>224</v>
      </c>
      <c r="K2" s="280" t="s">
        <v>205</v>
      </c>
      <c r="L2" s="280" t="s">
        <v>206</v>
      </c>
      <c r="M2" s="280" t="s">
        <v>11</v>
      </c>
      <c r="N2" s="280" t="s">
        <v>225</v>
      </c>
      <c r="O2" s="280" t="s">
        <v>227</v>
      </c>
      <c r="P2" s="280" t="s">
        <v>9</v>
      </c>
      <c r="Q2" s="280" t="s">
        <v>226</v>
      </c>
      <c r="R2" s="283" t="s">
        <v>12</v>
      </c>
      <c r="S2" s="284">
        <v>1</v>
      </c>
      <c r="T2" s="284">
        <v>2</v>
      </c>
      <c r="U2" s="284">
        <v>3</v>
      </c>
      <c r="V2" s="284">
        <v>4</v>
      </c>
      <c r="W2" s="284">
        <v>5</v>
      </c>
      <c r="X2" s="284">
        <v>6</v>
      </c>
      <c r="Y2" s="284">
        <v>7</v>
      </c>
      <c r="Z2" s="284">
        <v>8</v>
      </c>
      <c r="AA2" s="284">
        <v>9</v>
      </c>
      <c r="AB2" s="284">
        <v>10</v>
      </c>
      <c r="AC2" s="284">
        <v>11</v>
      </c>
      <c r="AD2" s="284">
        <v>12</v>
      </c>
      <c r="AE2" s="284">
        <v>13</v>
      </c>
      <c r="AF2" s="284">
        <v>14</v>
      </c>
      <c r="AG2" s="284">
        <v>15</v>
      </c>
      <c r="AH2" s="284">
        <v>16</v>
      </c>
      <c r="AI2" s="284">
        <v>17</v>
      </c>
      <c r="AJ2" s="284">
        <v>18</v>
      </c>
      <c r="AK2" s="284">
        <v>19</v>
      </c>
      <c r="AL2" s="284">
        <v>20</v>
      </c>
      <c r="AM2" s="284">
        <v>21</v>
      </c>
      <c r="AN2" s="284">
        <v>22</v>
      </c>
      <c r="AO2" s="284">
        <v>23</v>
      </c>
      <c r="AP2" s="284">
        <v>24</v>
      </c>
      <c r="AQ2" s="284">
        <v>25</v>
      </c>
      <c r="AR2" s="284">
        <v>26</v>
      </c>
      <c r="AS2" s="284">
        <v>27</v>
      </c>
      <c r="AT2" s="284">
        <v>28</v>
      </c>
      <c r="AU2" s="284">
        <v>29</v>
      </c>
      <c r="AV2" s="285">
        <v>30</v>
      </c>
      <c r="AW2" s="286"/>
    </row>
    <row r="3" spans="1:49" s="63" customFormat="1" ht="12" customHeight="1" x14ac:dyDescent="0.2">
      <c r="A3" s="71" t="s">
        <v>16</v>
      </c>
      <c r="B3" s="296" t="s">
        <v>128</v>
      </c>
      <c r="C3" s="297" t="s">
        <v>70</v>
      </c>
      <c r="D3" s="297" t="s">
        <v>65</v>
      </c>
      <c r="E3" s="297" t="s">
        <v>129</v>
      </c>
      <c r="F3" s="298">
        <v>130</v>
      </c>
      <c r="G3" s="297" t="s">
        <v>20</v>
      </c>
      <c r="H3" s="297" t="s">
        <v>20</v>
      </c>
      <c r="I3" s="299">
        <v>65</v>
      </c>
      <c r="J3" s="300">
        <v>130</v>
      </c>
      <c r="K3" s="301">
        <v>2</v>
      </c>
      <c r="L3" s="301"/>
      <c r="M3" s="297" t="s">
        <v>25</v>
      </c>
      <c r="N3" s="297" t="s">
        <v>22</v>
      </c>
      <c r="O3" s="297" t="s">
        <v>131</v>
      </c>
      <c r="P3" s="297" t="s">
        <v>130</v>
      </c>
      <c r="Q3" s="302">
        <v>41371</v>
      </c>
      <c r="R3" s="303" t="s">
        <v>132</v>
      </c>
      <c r="S3" s="300"/>
      <c r="T3" s="300">
        <v>1</v>
      </c>
      <c r="U3" s="300">
        <v>1</v>
      </c>
      <c r="V3" s="300"/>
      <c r="W3" s="300"/>
      <c r="X3" s="300"/>
      <c r="Y3" s="300"/>
      <c r="Z3" s="300"/>
      <c r="AA3" s="300"/>
      <c r="AB3" s="300"/>
      <c r="AC3" s="300"/>
      <c r="AD3" s="300"/>
      <c r="AE3" s="300"/>
      <c r="AF3" s="300"/>
      <c r="AG3" s="300"/>
      <c r="AH3" s="300"/>
      <c r="AI3" s="300"/>
      <c r="AJ3" s="300"/>
      <c r="AK3" s="300"/>
      <c r="AL3" s="300"/>
      <c r="AM3" s="300"/>
      <c r="AN3" s="300"/>
      <c r="AO3" s="300"/>
      <c r="AP3" s="300"/>
      <c r="AQ3" s="300"/>
      <c r="AR3" s="300"/>
      <c r="AS3" s="300"/>
      <c r="AT3" s="300"/>
      <c r="AU3" s="300"/>
      <c r="AV3" s="304"/>
      <c r="AW3" s="305">
        <f>SUM(S3:AV3)</f>
        <v>2</v>
      </c>
    </row>
    <row r="4" spans="1:49" s="63" customFormat="1" ht="12" customHeight="1" x14ac:dyDescent="0.2">
      <c r="A4" s="71" t="s">
        <v>16</v>
      </c>
      <c r="B4" s="85" t="s">
        <v>133</v>
      </c>
      <c r="C4" s="72" t="s">
        <v>70</v>
      </c>
      <c r="D4" s="72" t="s">
        <v>65</v>
      </c>
      <c r="E4" s="72" t="s">
        <v>134</v>
      </c>
      <c r="F4" s="166">
        <v>325</v>
      </c>
      <c r="G4" s="72" t="s">
        <v>20</v>
      </c>
      <c r="H4" s="72" t="s">
        <v>20</v>
      </c>
      <c r="I4" s="110">
        <v>65</v>
      </c>
      <c r="J4" s="74">
        <v>325</v>
      </c>
      <c r="K4" s="106">
        <v>5</v>
      </c>
      <c r="L4" s="106"/>
      <c r="M4" s="72" t="s">
        <v>25</v>
      </c>
      <c r="N4" s="72" t="s">
        <v>34</v>
      </c>
      <c r="O4" s="72" t="s">
        <v>36</v>
      </c>
      <c r="P4" s="72" t="s">
        <v>135</v>
      </c>
      <c r="Q4" s="73">
        <v>41384</v>
      </c>
      <c r="R4" s="172" t="s">
        <v>136</v>
      </c>
      <c r="S4" s="74"/>
      <c r="T4" s="74"/>
      <c r="U4" s="74"/>
      <c r="V4" s="74">
        <v>1</v>
      </c>
      <c r="W4" s="74">
        <v>1</v>
      </c>
      <c r="X4" s="74">
        <v>1</v>
      </c>
      <c r="Y4" s="74">
        <v>1</v>
      </c>
      <c r="Z4" s="74">
        <v>1</v>
      </c>
      <c r="AA4" s="74"/>
      <c r="AB4" s="74"/>
      <c r="AC4" s="74"/>
      <c r="AD4" s="74"/>
      <c r="AE4" s="74"/>
      <c r="AF4" s="74"/>
      <c r="AG4" s="74"/>
      <c r="AH4" s="74"/>
      <c r="AI4" s="74"/>
      <c r="AJ4" s="74"/>
      <c r="AK4" s="74"/>
      <c r="AL4" s="74"/>
      <c r="AM4" s="74"/>
      <c r="AN4" s="74"/>
      <c r="AO4" s="74"/>
      <c r="AP4" s="74"/>
      <c r="AQ4" s="74"/>
      <c r="AR4" s="74"/>
      <c r="AS4" s="74"/>
      <c r="AT4" s="74"/>
      <c r="AU4" s="74"/>
      <c r="AV4" s="75"/>
      <c r="AW4" s="76">
        <f t="shared" ref="AW4:AW15" si="0">SUM(S4:AV4)</f>
        <v>5</v>
      </c>
    </row>
    <row r="5" spans="1:49" s="63" customFormat="1" ht="12" customHeight="1" x14ac:dyDescent="0.2">
      <c r="A5" s="71" t="s">
        <v>16</v>
      </c>
      <c r="B5" s="85" t="s">
        <v>69</v>
      </c>
      <c r="C5" s="72" t="s">
        <v>70</v>
      </c>
      <c r="D5" s="72" t="s">
        <v>65</v>
      </c>
      <c r="E5" s="72" t="s">
        <v>71</v>
      </c>
      <c r="F5" s="166">
        <v>120</v>
      </c>
      <c r="G5" s="72" t="s">
        <v>20</v>
      </c>
      <c r="H5" s="72" t="s">
        <v>20</v>
      </c>
      <c r="I5" s="110">
        <v>20</v>
      </c>
      <c r="J5" s="74">
        <v>120</v>
      </c>
      <c r="K5" s="106"/>
      <c r="L5" s="106">
        <v>6</v>
      </c>
      <c r="M5" s="72" t="s">
        <v>74</v>
      </c>
      <c r="N5" s="72" t="s">
        <v>34</v>
      </c>
      <c r="O5" s="72" t="s">
        <v>73</v>
      </c>
      <c r="P5" s="72" t="s">
        <v>72</v>
      </c>
      <c r="Q5" s="73">
        <v>41389</v>
      </c>
      <c r="R5" s="172" t="s">
        <v>75</v>
      </c>
      <c r="S5" s="74"/>
      <c r="T5" s="74"/>
      <c r="U5" s="74"/>
      <c r="V5" s="74"/>
      <c r="W5" s="74"/>
      <c r="X5" s="74"/>
      <c r="Y5" s="74"/>
      <c r="Z5" s="74"/>
      <c r="AA5" s="74">
        <v>3</v>
      </c>
      <c r="AB5" s="74">
        <v>3</v>
      </c>
      <c r="AC5" s="74"/>
      <c r="AD5" s="74"/>
      <c r="AE5" s="74"/>
      <c r="AF5" s="74"/>
      <c r="AG5" s="74"/>
      <c r="AH5" s="74"/>
      <c r="AI5" s="74"/>
      <c r="AJ5" s="74"/>
      <c r="AK5" s="74"/>
      <c r="AL5" s="74"/>
      <c r="AM5" s="74"/>
      <c r="AN5" s="74"/>
      <c r="AO5" s="74"/>
      <c r="AP5" s="74"/>
      <c r="AQ5" s="74"/>
      <c r="AR5" s="74"/>
      <c r="AS5" s="74"/>
      <c r="AT5" s="74"/>
      <c r="AU5" s="74"/>
      <c r="AV5" s="75"/>
      <c r="AW5" s="76">
        <f t="shared" si="0"/>
        <v>6</v>
      </c>
    </row>
    <row r="6" spans="1:49" s="63" customFormat="1" ht="12" customHeight="1" x14ac:dyDescent="0.2">
      <c r="A6" s="71" t="s">
        <v>16</v>
      </c>
      <c r="B6" s="198">
        <v>235240</v>
      </c>
      <c r="C6" s="72" t="s">
        <v>77</v>
      </c>
      <c r="D6" s="72" t="s">
        <v>65</v>
      </c>
      <c r="E6" s="72" t="s">
        <v>78</v>
      </c>
      <c r="F6" s="166">
        <v>60</v>
      </c>
      <c r="G6" s="72" t="s">
        <v>20</v>
      </c>
      <c r="H6" s="72" t="s">
        <v>20</v>
      </c>
      <c r="I6" s="110">
        <v>20</v>
      </c>
      <c r="J6" s="74">
        <v>60</v>
      </c>
      <c r="K6" s="106"/>
      <c r="L6" s="106">
        <v>3</v>
      </c>
      <c r="M6" s="72" t="s">
        <v>74</v>
      </c>
      <c r="N6" s="72" t="s">
        <v>34</v>
      </c>
      <c r="O6" s="72" t="s">
        <v>73</v>
      </c>
      <c r="P6" s="72" t="s">
        <v>72</v>
      </c>
      <c r="Q6" s="73">
        <v>41389</v>
      </c>
      <c r="R6" s="172" t="s">
        <v>79</v>
      </c>
      <c r="S6" s="74"/>
      <c r="T6" s="74"/>
      <c r="U6" s="74"/>
      <c r="V6" s="74"/>
      <c r="W6" s="74"/>
      <c r="X6" s="74"/>
      <c r="Y6" s="74"/>
      <c r="Z6" s="74"/>
      <c r="AA6" s="74"/>
      <c r="AB6" s="74"/>
      <c r="AC6" s="74">
        <v>3</v>
      </c>
      <c r="AD6" s="74"/>
      <c r="AE6" s="74"/>
      <c r="AF6" s="74"/>
      <c r="AG6" s="74"/>
      <c r="AH6" s="74"/>
      <c r="AI6" s="74"/>
      <c r="AJ6" s="74"/>
      <c r="AK6" s="74"/>
      <c r="AL6" s="74"/>
      <c r="AM6" s="74"/>
      <c r="AN6" s="74"/>
      <c r="AO6" s="74"/>
      <c r="AP6" s="74"/>
      <c r="AQ6" s="74"/>
      <c r="AR6" s="74"/>
      <c r="AS6" s="74"/>
      <c r="AT6" s="74"/>
      <c r="AU6" s="74"/>
      <c r="AV6" s="75"/>
      <c r="AW6" s="76">
        <f>SUM(S6:AV6)</f>
        <v>3</v>
      </c>
    </row>
    <row r="7" spans="1:49" s="63" customFormat="1" ht="12" customHeight="1" x14ac:dyDescent="0.2">
      <c r="A7" s="71"/>
      <c r="B7" s="85" t="s">
        <v>236</v>
      </c>
      <c r="C7" s="72" t="s">
        <v>64</v>
      </c>
      <c r="D7" s="72" t="s">
        <v>65</v>
      </c>
      <c r="E7" s="72" t="s">
        <v>237</v>
      </c>
      <c r="F7" s="72">
        <v>120</v>
      </c>
      <c r="G7" s="72"/>
      <c r="H7" s="72"/>
      <c r="I7" s="110">
        <v>60</v>
      </c>
      <c r="J7" s="74">
        <v>120</v>
      </c>
      <c r="K7" s="106">
        <v>2</v>
      </c>
      <c r="L7" s="72"/>
      <c r="M7" s="72" t="s">
        <v>25</v>
      </c>
      <c r="N7" s="74" t="s">
        <v>34</v>
      </c>
      <c r="O7" s="74" t="s">
        <v>73</v>
      </c>
      <c r="P7" s="74" t="s">
        <v>72</v>
      </c>
      <c r="Q7" s="73">
        <v>41389</v>
      </c>
      <c r="R7" s="74" t="s">
        <v>238</v>
      </c>
      <c r="S7" s="74"/>
      <c r="T7" s="74"/>
      <c r="U7" s="74"/>
      <c r="V7" s="74"/>
      <c r="W7" s="74"/>
      <c r="X7" s="74"/>
      <c r="Y7" s="74"/>
      <c r="Z7" s="74"/>
      <c r="AA7" s="74"/>
      <c r="AB7" s="74"/>
      <c r="AC7" s="74"/>
      <c r="AD7" s="74">
        <v>1</v>
      </c>
      <c r="AE7" s="74">
        <v>1</v>
      </c>
      <c r="AF7" s="74"/>
      <c r="AG7" s="74"/>
      <c r="AH7" s="74"/>
      <c r="AI7" s="74"/>
      <c r="AJ7" s="74"/>
      <c r="AK7" s="74"/>
      <c r="AL7" s="74"/>
      <c r="AM7" s="74"/>
      <c r="AN7" s="74"/>
      <c r="AO7" s="74"/>
      <c r="AP7" s="74"/>
      <c r="AQ7" s="74"/>
      <c r="AR7" s="74"/>
      <c r="AS7" s="74"/>
      <c r="AT7" s="74"/>
      <c r="AU7" s="74"/>
      <c r="AV7" s="75"/>
      <c r="AW7" s="76">
        <f>SUM(S7:AV7)</f>
        <v>2</v>
      </c>
    </row>
    <row r="8" spans="1:49" s="63" customFormat="1" ht="12" customHeight="1" x14ac:dyDescent="0.2">
      <c r="A8" s="71" t="s">
        <v>16</v>
      </c>
      <c r="B8" s="310" t="s">
        <v>63</v>
      </c>
      <c r="C8" s="311" t="s">
        <v>64</v>
      </c>
      <c r="D8" s="311" t="s">
        <v>65</v>
      </c>
      <c r="E8" s="311" t="s">
        <v>66</v>
      </c>
      <c r="F8" s="166">
        <v>875</v>
      </c>
      <c r="G8" s="72" t="s">
        <v>20</v>
      </c>
      <c r="H8" s="72" t="s">
        <v>20</v>
      </c>
      <c r="I8" s="110">
        <v>66.7</v>
      </c>
      <c r="J8" s="74">
        <v>1000</v>
      </c>
      <c r="K8" s="106">
        <v>15</v>
      </c>
      <c r="L8" s="106"/>
      <c r="M8" s="72" t="s">
        <v>25</v>
      </c>
      <c r="N8" s="72" t="s">
        <v>67</v>
      </c>
      <c r="O8" s="72" t="s">
        <v>46</v>
      </c>
      <c r="P8" s="72" t="s">
        <v>68</v>
      </c>
      <c r="Q8" s="73">
        <v>11443</v>
      </c>
      <c r="R8" s="172" t="s">
        <v>20</v>
      </c>
      <c r="S8" s="74"/>
      <c r="T8" s="74"/>
      <c r="U8" s="74"/>
      <c r="V8" s="74"/>
      <c r="W8" s="74"/>
      <c r="X8" s="74"/>
      <c r="Y8" s="74"/>
      <c r="Z8" s="74"/>
      <c r="AA8" s="74"/>
      <c r="AB8" s="74"/>
      <c r="AC8" s="74"/>
      <c r="AD8" s="74"/>
      <c r="AE8" s="74"/>
      <c r="AF8" s="74">
        <v>1</v>
      </c>
      <c r="AG8" s="74">
        <v>1</v>
      </c>
      <c r="AH8" s="74">
        <v>1</v>
      </c>
      <c r="AI8" s="74"/>
      <c r="AJ8" s="74"/>
      <c r="AK8" s="74"/>
      <c r="AL8" s="74"/>
      <c r="AM8" s="74"/>
      <c r="AN8" s="74">
        <v>2</v>
      </c>
      <c r="AO8" s="74">
        <v>1</v>
      </c>
      <c r="AP8" s="74">
        <v>1</v>
      </c>
      <c r="AQ8" s="74">
        <v>2</v>
      </c>
      <c r="AR8" s="74">
        <v>1</v>
      </c>
      <c r="AS8" s="74">
        <v>1</v>
      </c>
      <c r="AT8" s="74">
        <v>2</v>
      </c>
      <c r="AU8" s="74"/>
      <c r="AV8" s="75"/>
      <c r="AW8" s="312">
        <f t="shared" si="0"/>
        <v>13</v>
      </c>
    </row>
    <row r="9" spans="1:49" s="273" customFormat="1" ht="12" customHeight="1" x14ac:dyDescent="0.2">
      <c r="A9" s="267"/>
      <c r="B9" s="306" t="s">
        <v>256</v>
      </c>
      <c r="C9" s="268" t="s">
        <v>257</v>
      </c>
      <c r="D9" s="268" t="s">
        <v>65</v>
      </c>
      <c r="E9" s="268" t="s">
        <v>258</v>
      </c>
      <c r="F9" s="268">
        <v>1</v>
      </c>
      <c r="G9" s="268"/>
      <c r="H9" s="268"/>
      <c r="I9" s="268"/>
      <c r="J9" s="268">
        <v>1</v>
      </c>
      <c r="K9" s="268"/>
      <c r="L9" s="268"/>
      <c r="M9" s="269"/>
      <c r="N9" s="269"/>
      <c r="O9" s="269"/>
      <c r="P9" s="269"/>
      <c r="Q9" s="73"/>
      <c r="R9" s="270"/>
      <c r="S9" s="271"/>
      <c r="T9" s="271"/>
      <c r="U9" s="271"/>
      <c r="V9" s="271"/>
      <c r="W9" s="271"/>
      <c r="X9" s="271"/>
      <c r="Y9" s="271"/>
      <c r="Z9" s="271"/>
      <c r="AA9" s="271"/>
      <c r="AB9" s="271"/>
      <c r="AC9" s="271"/>
      <c r="AD9" s="271"/>
      <c r="AE9" s="271"/>
      <c r="AF9" s="271"/>
      <c r="AG9" s="271"/>
      <c r="AH9" s="271"/>
      <c r="AI9" s="271"/>
      <c r="AJ9" s="271"/>
      <c r="AK9" s="271"/>
      <c r="AL9" s="271"/>
      <c r="AM9" s="271"/>
      <c r="AN9" s="271"/>
      <c r="AO9" s="271"/>
      <c r="AP9" s="271"/>
      <c r="AQ9" s="271"/>
      <c r="AR9" s="271"/>
      <c r="AS9" s="271"/>
      <c r="AT9" s="74">
        <v>1</v>
      </c>
      <c r="AU9" s="271"/>
      <c r="AV9" s="272"/>
      <c r="AW9" s="76">
        <f t="shared" si="0"/>
        <v>1</v>
      </c>
    </row>
    <row r="10" spans="1:49" s="63" customFormat="1" ht="12" customHeight="1" thickBot="1" x14ac:dyDescent="0.25">
      <c r="A10" s="71"/>
      <c r="B10" s="306" t="s">
        <v>254</v>
      </c>
      <c r="C10" s="307" t="s">
        <v>64</v>
      </c>
      <c r="D10" s="307" t="s">
        <v>65</v>
      </c>
      <c r="E10" s="307" t="s">
        <v>255</v>
      </c>
      <c r="F10" s="307">
        <v>360</v>
      </c>
      <c r="G10" s="307"/>
      <c r="H10" s="307"/>
      <c r="I10" s="307">
        <v>20</v>
      </c>
      <c r="J10" s="307">
        <v>360</v>
      </c>
      <c r="K10" s="307"/>
      <c r="L10" s="307">
        <v>18</v>
      </c>
      <c r="M10" s="307"/>
      <c r="N10" s="307"/>
      <c r="O10" s="307"/>
      <c r="P10" s="307"/>
      <c r="Q10" s="308">
        <v>41394</v>
      </c>
      <c r="R10" s="307"/>
      <c r="S10" s="307"/>
      <c r="T10" s="307"/>
      <c r="U10" s="307"/>
      <c r="V10" s="307"/>
      <c r="W10" s="307"/>
      <c r="X10" s="307"/>
      <c r="Y10" s="307"/>
      <c r="Z10" s="307"/>
      <c r="AA10" s="307"/>
      <c r="AB10" s="307"/>
      <c r="AC10" s="307"/>
      <c r="AD10" s="307"/>
      <c r="AE10" s="307"/>
      <c r="AF10" s="307"/>
      <c r="AG10" s="307"/>
      <c r="AH10" s="307"/>
      <c r="AI10" s="307">
        <v>4</v>
      </c>
      <c r="AJ10" s="307">
        <v>4</v>
      </c>
      <c r="AK10" s="307">
        <v>4</v>
      </c>
      <c r="AL10" s="307">
        <v>4</v>
      </c>
      <c r="AM10" s="307">
        <v>2</v>
      </c>
      <c r="AN10" s="307"/>
      <c r="AO10" s="307"/>
      <c r="AP10" s="307"/>
      <c r="AQ10" s="307"/>
      <c r="AR10" s="307"/>
      <c r="AS10" s="307"/>
      <c r="AT10" s="307"/>
      <c r="AU10" s="307"/>
      <c r="AV10" s="307"/>
      <c r="AW10" s="309">
        <f t="shared" ref="AW10" si="1">SUM(S10:AV10)</f>
        <v>18</v>
      </c>
    </row>
    <row r="11" spans="1:49" s="63" customFormat="1" ht="12" customHeight="1" x14ac:dyDescent="0.2">
      <c r="A11" s="71" t="s">
        <v>16</v>
      </c>
      <c r="B11" s="287" t="s">
        <v>122</v>
      </c>
      <c r="C11" s="274" t="s">
        <v>234</v>
      </c>
      <c r="D11" s="274" t="s">
        <v>65</v>
      </c>
      <c r="E11" s="274" t="s">
        <v>124</v>
      </c>
      <c r="F11" s="288">
        <v>800</v>
      </c>
      <c r="G11" s="274" t="s">
        <v>20</v>
      </c>
      <c r="H11" s="274" t="s">
        <v>20</v>
      </c>
      <c r="I11" s="289">
        <v>66.7</v>
      </c>
      <c r="J11" s="290">
        <v>800</v>
      </c>
      <c r="K11" s="291">
        <v>12</v>
      </c>
      <c r="L11" s="291"/>
      <c r="M11" s="274" t="s">
        <v>25</v>
      </c>
      <c r="N11" s="274" t="s">
        <v>34</v>
      </c>
      <c r="O11" s="274" t="s">
        <v>36</v>
      </c>
      <c r="P11" s="274" t="s">
        <v>125</v>
      </c>
      <c r="Q11" s="292">
        <v>41394</v>
      </c>
      <c r="R11" s="293" t="s">
        <v>20</v>
      </c>
      <c r="S11" s="290"/>
      <c r="T11" s="290"/>
      <c r="U11" s="290">
        <v>1</v>
      </c>
      <c r="V11" s="290">
        <v>2</v>
      </c>
      <c r="W11" s="290">
        <v>2</v>
      </c>
      <c r="X11" s="290">
        <v>2</v>
      </c>
      <c r="Y11" s="290">
        <v>2</v>
      </c>
      <c r="Z11" s="290">
        <v>2</v>
      </c>
      <c r="AA11" s="290">
        <v>1</v>
      </c>
      <c r="AB11" s="290"/>
      <c r="AC11" s="290"/>
      <c r="AD11" s="290"/>
      <c r="AE11" s="290"/>
      <c r="AF11" s="290"/>
      <c r="AG11" s="290"/>
      <c r="AH11" s="290"/>
      <c r="AI11" s="290"/>
      <c r="AJ11" s="290"/>
      <c r="AK11" s="290"/>
      <c r="AL11" s="290"/>
      <c r="AM11" s="290"/>
      <c r="AN11" s="290"/>
      <c r="AO11" s="290"/>
      <c r="AP11" s="290"/>
      <c r="AQ11" s="290"/>
      <c r="AR11" s="290"/>
      <c r="AS11" s="290"/>
      <c r="AT11" s="290"/>
      <c r="AU11" s="290"/>
      <c r="AV11" s="294"/>
      <c r="AW11" s="295">
        <f t="shared" si="0"/>
        <v>12</v>
      </c>
    </row>
    <row r="12" spans="1:49" s="63" customFormat="1" ht="12" customHeight="1" x14ac:dyDescent="0.2">
      <c r="A12" s="71" t="s">
        <v>16</v>
      </c>
      <c r="B12" s="262" t="s">
        <v>112</v>
      </c>
      <c r="C12" s="77" t="s">
        <v>64</v>
      </c>
      <c r="D12" s="77" t="s">
        <v>65</v>
      </c>
      <c r="E12" s="77" t="s">
        <v>66</v>
      </c>
      <c r="F12" s="167">
        <v>560</v>
      </c>
      <c r="G12" s="77" t="s">
        <v>20</v>
      </c>
      <c r="H12" s="77" t="s">
        <v>20</v>
      </c>
      <c r="I12" s="84">
        <v>65</v>
      </c>
      <c r="J12" s="81">
        <v>560</v>
      </c>
      <c r="K12" s="107">
        <v>8</v>
      </c>
      <c r="L12" s="107"/>
      <c r="M12" s="77" t="s">
        <v>25</v>
      </c>
      <c r="N12" s="77" t="s">
        <v>67</v>
      </c>
      <c r="O12" s="77" t="s">
        <v>46</v>
      </c>
      <c r="P12" s="77" t="s">
        <v>68</v>
      </c>
      <c r="Q12" s="80">
        <v>41394</v>
      </c>
      <c r="R12" s="173" t="s">
        <v>20</v>
      </c>
      <c r="S12" s="81"/>
      <c r="T12" s="81"/>
      <c r="U12" s="81"/>
      <c r="V12" s="81"/>
      <c r="W12" s="81"/>
      <c r="X12" s="81"/>
      <c r="Y12" s="81"/>
      <c r="Z12" s="81"/>
      <c r="AA12" s="81"/>
      <c r="AB12" s="81">
        <v>1</v>
      </c>
      <c r="AC12" s="81">
        <v>2</v>
      </c>
      <c r="AD12" s="81">
        <v>1</v>
      </c>
      <c r="AE12" s="81">
        <v>2</v>
      </c>
      <c r="AF12" s="81">
        <v>2</v>
      </c>
      <c r="AG12" s="81"/>
      <c r="AH12" s="81"/>
      <c r="AI12" s="81"/>
      <c r="AJ12" s="81"/>
      <c r="AK12" s="81"/>
      <c r="AL12" s="81"/>
      <c r="AM12" s="81"/>
      <c r="AN12" s="81"/>
      <c r="AO12" s="81"/>
      <c r="AP12" s="81"/>
      <c r="AQ12" s="81"/>
      <c r="AR12" s="81"/>
      <c r="AS12" s="81"/>
      <c r="AT12" s="81"/>
      <c r="AU12" s="81"/>
      <c r="AV12" s="82"/>
      <c r="AW12" s="78">
        <f t="shared" si="0"/>
        <v>8</v>
      </c>
    </row>
    <row r="13" spans="1:49" s="63" customFormat="1" ht="12" customHeight="1" x14ac:dyDescent="0.2">
      <c r="A13" s="71" t="s">
        <v>16</v>
      </c>
      <c r="B13" s="79" t="s">
        <v>113</v>
      </c>
      <c r="C13" s="77" t="s">
        <v>64</v>
      </c>
      <c r="D13" s="77" t="s">
        <v>65</v>
      </c>
      <c r="E13" s="77" t="s">
        <v>66</v>
      </c>
      <c r="F13" s="167">
        <v>1500</v>
      </c>
      <c r="G13" s="77" t="s">
        <v>20</v>
      </c>
      <c r="H13" s="77" t="s">
        <v>20</v>
      </c>
      <c r="I13" s="83">
        <v>20</v>
      </c>
      <c r="J13" s="81">
        <v>1500</v>
      </c>
      <c r="K13" s="107"/>
      <c r="L13" s="107">
        <v>75</v>
      </c>
      <c r="M13" s="77" t="s">
        <v>95</v>
      </c>
      <c r="N13" s="77" t="s">
        <v>94</v>
      </c>
      <c r="O13" s="77" t="s">
        <v>46</v>
      </c>
      <c r="P13" s="77" t="s">
        <v>68</v>
      </c>
      <c r="Q13" s="80">
        <v>41394</v>
      </c>
      <c r="R13" s="173" t="s">
        <v>114</v>
      </c>
      <c r="S13" s="81">
        <v>5</v>
      </c>
      <c r="T13" s="81">
        <v>6</v>
      </c>
      <c r="U13" s="81"/>
      <c r="V13" s="81"/>
      <c r="W13" s="81"/>
      <c r="X13" s="81"/>
      <c r="Y13" s="81"/>
      <c r="Z13" s="81"/>
      <c r="AA13" s="81"/>
      <c r="AB13" s="81"/>
      <c r="AC13" s="81"/>
      <c r="AD13" s="81"/>
      <c r="AE13" s="81"/>
      <c r="AF13" s="81">
        <v>3</v>
      </c>
      <c r="AG13" s="81">
        <v>5</v>
      </c>
      <c r="AH13" s="81">
        <v>4</v>
      </c>
      <c r="AI13" s="81">
        <v>5</v>
      </c>
      <c r="AJ13" s="81">
        <v>4</v>
      </c>
      <c r="AK13" s="81">
        <v>5</v>
      </c>
      <c r="AL13" s="81">
        <v>4</v>
      </c>
      <c r="AM13" s="81">
        <v>5</v>
      </c>
      <c r="AN13" s="81">
        <v>4</v>
      </c>
      <c r="AO13" s="81">
        <v>5</v>
      </c>
      <c r="AP13" s="81">
        <v>5</v>
      </c>
      <c r="AQ13" s="81">
        <v>5</v>
      </c>
      <c r="AR13" s="81">
        <v>5</v>
      </c>
      <c r="AS13" s="81">
        <v>5</v>
      </c>
      <c r="AT13" s="81"/>
      <c r="AU13" s="81"/>
      <c r="AV13" s="82"/>
      <c r="AW13" s="78">
        <f t="shared" si="0"/>
        <v>75</v>
      </c>
    </row>
    <row r="14" spans="1:49" s="63" customFormat="1" ht="12" customHeight="1" x14ac:dyDescent="0.2">
      <c r="A14" s="71" t="s">
        <v>16</v>
      </c>
      <c r="B14" s="79" t="s">
        <v>126</v>
      </c>
      <c r="C14" s="77" t="s">
        <v>234</v>
      </c>
      <c r="D14" s="77" t="s">
        <v>65</v>
      </c>
      <c r="E14" s="77" t="s">
        <v>127</v>
      </c>
      <c r="F14" s="167">
        <v>50</v>
      </c>
      <c r="G14" s="77" t="s">
        <v>20</v>
      </c>
      <c r="H14" s="77" t="s">
        <v>20</v>
      </c>
      <c r="I14" s="83">
        <v>16.7</v>
      </c>
      <c r="J14" s="81">
        <v>50</v>
      </c>
      <c r="K14" s="107"/>
      <c r="L14" s="107">
        <v>3</v>
      </c>
      <c r="M14" s="77" t="s">
        <v>74</v>
      </c>
      <c r="N14" s="77" t="s">
        <v>34</v>
      </c>
      <c r="O14" s="77" t="s">
        <v>36</v>
      </c>
      <c r="P14" s="77" t="s">
        <v>125</v>
      </c>
      <c r="Q14" s="80">
        <v>41394</v>
      </c>
      <c r="R14" s="173" t="s">
        <v>20</v>
      </c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81"/>
      <c r="AG14" s="81"/>
      <c r="AH14" s="81"/>
      <c r="AI14" s="81"/>
      <c r="AJ14" s="81"/>
      <c r="AK14" s="81"/>
      <c r="AL14" s="81"/>
      <c r="AM14" s="81"/>
      <c r="AN14" s="81"/>
      <c r="AO14" s="81"/>
      <c r="AP14" s="81"/>
      <c r="AQ14" s="81"/>
      <c r="AR14" s="81"/>
      <c r="AS14" s="81"/>
      <c r="AT14" s="81">
        <v>3</v>
      </c>
      <c r="AU14" s="81"/>
      <c r="AV14" s="275"/>
      <c r="AW14" s="78">
        <f t="shared" si="0"/>
        <v>3</v>
      </c>
    </row>
    <row r="15" spans="1:49" s="63" customFormat="1" ht="12" customHeight="1" thickBot="1" x14ac:dyDescent="0.25">
      <c r="A15" s="71"/>
      <c r="B15" s="314" t="s">
        <v>63</v>
      </c>
      <c r="C15" s="315" t="s">
        <v>64</v>
      </c>
      <c r="D15" s="315" t="s">
        <v>65</v>
      </c>
      <c r="E15" s="315" t="s">
        <v>66</v>
      </c>
      <c r="F15" s="316">
        <v>125</v>
      </c>
      <c r="G15" s="274"/>
      <c r="H15" s="274"/>
      <c r="I15" s="274"/>
      <c r="J15" s="290"/>
      <c r="K15" s="274"/>
      <c r="L15" s="274"/>
      <c r="M15" s="263"/>
      <c r="N15" s="263"/>
      <c r="O15" s="263"/>
      <c r="P15" s="263"/>
      <c r="Q15" s="292"/>
      <c r="R15" s="264"/>
      <c r="S15" s="265"/>
      <c r="T15" s="265"/>
      <c r="U15" s="265"/>
      <c r="V15" s="265"/>
      <c r="W15" s="265"/>
      <c r="X15" s="265"/>
      <c r="Y15" s="265"/>
      <c r="Z15" s="265"/>
      <c r="AA15" s="265"/>
      <c r="AB15" s="265"/>
      <c r="AC15" s="265"/>
      <c r="AD15" s="265"/>
      <c r="AE15" s="265"/>
      <c r="AF15" s="265"/>
      <c r="AG15" s="265"/>
      <c r="AH15" s="265"/>
      <c r="AI15" s="265"/>
      <c r="AJ15" s="265"/>
      <c r="AK15" s="265"/>
      <c r="AL15" s="265"/>
      <c r="AM15" s="265"/>
      <c r="AN15" s="265"/>
      <c r="AO15" s="265"/>
      <c r="AP15" s="265"/>
      <c r="AQ15" s="265"/>
      <c r="AR15" s="265"/>
      <c r="AS15" s="265"/>
      <c r="AT15" s="265"/>
      <c r="AU15" s="265">
        <v>1</v>
      </c>
      <c r="AV15" s="266">
        <v>1</v>
      </c>
      <c r="AW15" s="313">
        <f t="shared" si="0"/>
        <v>2</v>
      </c>
    </row>
    <row r="16" spans="1:49" s="64" customFormat="1" ht="12" customHeight="1" x14ac:dyDescent="0.2">
      <c r="A16" s="68" t="s">
        <v>16</v>
      </c>
      <c r="B16" s="86" t="s">
        <v>80</v>
      </c>
      <c r="C16" s="87" t="s">
        <v>77</v>
      </c>
      <c r="D16" s="87" t="s">
        <v>81</v>
      </c>
      <c r="E16" s="87" t="s">
        <v>82</v>
      </c>
      <c r="F16" s="168">
        <v>60</v>
      </c>
      <c r="G16" s="87" t="s">
        <v>20</v>
      </c>
      <c r="H16" s="87" t="s">
        <v>20</v>
      </c>
      <c r="I16" s="192">
        <v>20</v>
      </c>
      <c r="J16" s="88">
        <v>60</v>
      </c>
      <c r="K16" s="108"/>
      <c r="L16" s="108">
        <v>3</v>
      </c>
      <c r="M16" s="87" t="s">
        <v>74</v>
      </c>
      <c r="N16" s="87" t="s">
        <v>34</v>
      </c>
      <c r="O16" s="87" t="s">
        <v>73</v>
      </c>
      <c r="P16" s="87" t="s">
        <v>72</v>
      </c>
      <c r="Q16" s="89">
        <v>41389</v>
      </c>
      <c r="R16" s="174" t="s">
        <v>79</v>
      </c>
      <c r="S16" s="90"/>
      <c r="T16" s="90">
        <v>3</v>
      </c>
      <c r="U16" s="90"/>
      <c r="V16" s="90"/>
      <c r="W16" s="90"/>
      <c r="X16" s="90"/>
      <c r="Y16" s="90"/>
      <c r="Z16" s="90"/>
      <c r="AA16" s="90"/>
      <c r="AB16" s="90"/>
      <c r="AC16" s="90"/>
      <c r="AD16" s="90"/>
      <c r="AE16" s="90"/>
      <c r="AF16" s="90"/>
      <c r="AG16" s="90"/>
      <c r="AH16" s="90"/>
      <c r="AI16" s="90"/>
      <c r="AJ16" s="90"/>
      <c r="AK16" s="90"/>
      <c r="AL16" s="90"/>
      <c r="AM16" s="90"/>
      <c r="AN16" s="90"/>
      <c r="AO16" s="90"/>
      <c r="AP16" s="90"/>
      <c r="AQ16" s="90"/>
      <c r="AR16" s="90"/>
      <c r="AS16" s="90"/>
      <c r="AT16" s="90"/>
      <c r="AU16" s="90"/>
      <c r="AV16" s="91"/>
      <c r="AW16" s="191">
        <f>SUM(S16:AV16)</f>
        <v>3</v>
      </c>
    </row>
    <row r="17" spans="1:49" s="61" customFormat="1" ht="12" customHeight="1" x14ac:dyDescent="0.2">
      <c r="A17" s="67" t="s">
        <v>16</v>
      </c>
      <c r="B17" s="93" t="s">
        <v>121</v>
      </c>
      <c r="C17" s="94" t="s">
        <v>84</v>
      </c>
      <c r="D17" s="94" t="s">
        <v>81</v>
      </c>
      <c r="E17" s="94" t="s">
        <v>235</v>
      </c>
      <c r="F17" s="169">
        <v>350</v>
      </c>
      <c r="G17" s="94" t="s">
        <v>20</v>
      </c>
      <c r="H17" s="94" t="s">
        <v>20</v>
      </c>
      <c r="I17" s="100">
        <v>19.8</v>
      </c>
      <c r="J17" s="194">
        <v>350</v>
      </c>
      <c r="K17" s="195"/>
      <c r="L17" s="195">
        <v>18</v>
      </c>
      <c r="M17" s="94" t="s">
        <v>95</v>
      </c>
      <c r="N17" s="94" t="s">
        <v>94</v>
      </c>
      <c r="O17" s="94" t="s">
        <v>119</v>
      </c>
      <c r="P17" s="94" t="s">
        <v>118</v>
      </c>
      <c r="Q17" s="97">
        <v>41369</v>
      </c>
      <c r="R17" s="175" t="s">
        <v>120</v>
      </c>
      <c r="S17" s="98"/>
      <c r="T17" s="98"/>
      <c r="U17" s="98"/>
      <c r="V17" s="98"/>
      <c r="W17" s="98">
        <v>4</v>
      </c>
      <c r="X17" s="98">
        <v>4</v>
      </c>
      <c r="Y17" s="98">
        <v>4</v>
      </c>
      <c r="Z17" s="98">
        <v>4</v>
      </c>
      <c r="AA17" s="98">
        <v>2</v>
      </c>
      <c r="AB17" s="98"/>
      <c r="AC17" s="98"/>
      <c r="AD17" s="98"/>
      <c r="AE17" s="98"/>
      <c r="AF17" s="98"/>
      <c r="AG17" s="98"/>
      <c r="AH17" s="98"/>
      <c r="AI17" s="98"/>
      <c r="AJ17" s="98"/>
      <c r="AK17" s="98"/>
      <c r="AL17" s="98"/>
      <c r="AM17" s="98"/>
      <c r="AN17" s="98"/>
      <c r="AO17" s="98"/>
      <c r="AP17" s="98"/>
      <c r="AQ17" s="98"/>
      <c r="AR17" s="98"/>
      <c r="AS17" s="98"/>
      <c r="AT17" s="98"/>
      <c r="AU17" s="98"/>
      <c r="AV17" s="99"/>
      <c r="AW17" s="92">
        <f t="shared" ref="AW17:AW28" si="2">SUM(S17:AV17)</f>
        <v>18</v>
      </c>
    </row>
    <row r="18" spans="1:49" s="61" customFormat="1" ht="12" customHeight="1" x14ac:dyDescent="0.2">
      <c r="A18" s="67" t="s">
        <v>16</v>
      </c>
      <c r="B18" s="93" t="s">
        <v>116</v>
      </c>
      <c r="C18" s="94" t="s">
        <v>84</v>
      </c>
      <c r="D18" s="94" t="s">
        <v>81</v>
      </c>
      <c r="E18" s="94" t="s">
        <v>117</v>
      </c>
      <c r="F18" s="169">
        <v>400</v>
      </c>
      <c r="G18" s="94" t="s">
        <v>20</v>
      </c>
      <c r="H18" s="94" t="s">
        <v>20</v>
      </c>
      <c r="I18" s="95">
        <v>20</v>
      </c>
      <c r="J18" s="194">
        <v>413</v>
      </c>
      <c r="K18" s="195"/>
      <c r="L18" s="195">
        <v>21</v>
      </c>
      <c r="M18" s="94" t="s">
        <v>95</v>
      </c>
      <c r="N18" s="94" t="s">
        <v>94</v>
      </c>
      <c r="O18" s="94" t="s">
        <v>119</v>
      </c>
      <c r="P18" s="94" t="s">
        <v>118</v>
      </c>
      <c r="Q18" s="97">
        <v>41379</v>
      </c>
      <c r="R18" s="175" t="s">
        <v>120</v>
      </c>
      <c r="S18" s="98"/>
      <c r="T18" s="98"/>
      <c r="U18" s="98"/>
      <c r="V18" s="98"/>
      <c r="W18" s="98"/>
      <c r="X18" s="98"/>
      <c r="Y18" s="98"/>
      <c r="Z18" s="98"/>
      <c r="AA18" s="98">
        <v>2</v>
      </c>
      <c r="AB18" s="98">
        <v>4</v>
      </c>
      <c r="AC18" s="98">
        <v>4</v>
      </c>
      <c r="AD18" s="98">
        <v>4</v>
      </c>
      <c r="AE18" s="98">
        <v>4</v>
      </c>
      <c r="AF18" s="98">
        <v>3</v>
      </c>
      <c r="AG18" s="98"/>
      <c r="AH18" s="98"/>
      <c r="AI18" s="98"/>
      <c r="AJ18" s="98"/>
      <c r="AK18" s="98"/>
      <c r="AL18" s="98"/>
      <c r="AM18" s="98"/>
      <c r="AN18" s="98"/>
      <c r="AO18" s="98"/>
      <c r="AP18" s="98"/>
      <c r="AQ18" s="98"/>
      <c r="AR18" s="98"/>
      <c r="AS18" s="98"/>
      <c r="AT18" s="98"/>
      <c r="AU18" s="98"/>
      <c r="AV18" s="99"/>
      <c r="AW18" s="92">
        <f t="shared" si="2"/>
        <v>21</v>
      </c>
    </row>
    <row r="19" spans="1:49" s="62" customFormat="1" ht="12" customHeight="1" x14ac:dyDescent="0.2">
      <c r="A19" s="69" t="s">
        <v>16</v>
      </c>
      <c r="B19" s="94" t="s">
        <v>98</v>
      </c>
      <c r="C19" s="94" t="s">
        <v>84</v>
      </c>
      <c r="D19" s="94" t="s">
        <v>81</v>
      </c>
      <c r="E19" s="94" t="s">
        <v>99</v>
      </c>
      <c r="F19" s="169">
        <v>160</v>
      </c>
      <c r="G19" s="94" t="s">
        <v>20</v>
      </c>
      <c r="H19" s="94" t="s">
        <v>20</v>
      </c>
      <c r="I19" s="100">
        <v>19.8</v>
      </c>
      <c r="J19" s="194">
        <v>160</v>
      </c>
      <c r="K19" s="195"/>
      <c r="L19" s="195">
        <v>8</v>
      </c>
      <c r="M19" s="101" t="s">
        <v>74</v>
      </c>
      <c r="N19" s="94" t="s">
        <v>67</v>
      </c>
      <c r="O19" s="94" t="s">
        <v>87</v>
      </c>
      <c r="P19" s="94" t="s">
        <v>86</v>
      </c>
      <c r="Q19" s="97">
        <v>41384</v>
      </c>
      <c r="R19" s="175" t="s">
        <v>92</v>
      </c>
      <c r="S19" s="98"/>
      <c r="T19" s="98"/>
      <c r="U19" s="98"/>
      <c r="V19" s="98"/>
      <c r="W19" s="98"/>
      <c r="X19" s="98"/>
      <c r="Y19" s="98"/>
      <c r="Z19" s="98"/>
      <c r="AA19" s="98"/>
      <c r="AB19" s="98"/>
      <c r="AC19" s="98"/>
      <c r="AD19" s="98"/>
      <c r="AE19" s="98"/>
      <c r="AF19" s="98">
        <v>2</v>
      </c>
      <c r="AG19" s="98">
        <v>4</v>
      </c>
      <c r="AH19" s="98">
        <v>2</v>
      </c>
      <c r="AI19" s="98"/>
      <c r="AJ19" s="98"/>
      <c r="AK19" s="98"/>
      <c r="AL19" s="98"/>
      <c r="AM19" s="98"/>
      <c r="AN19" s="98"/>
      <c r="AO19" s="98"/>
      <c r="AP19" s="98"/>
      <c r="AQ19" s="98"/>
      <c r="AR19" s="98"/>
      <c r="AS19" s="98"/>
      <c r="AT19" s="98"/>
      <c r="AU19" s="98"/>
      <c r="AV19" s="99"/>
      <c r="AW19" s="92">
        <f t="shared" si="2"/>
        <v>8</v>
      </c>
    </row>
    <row r="20" spans="1:49" s="62" customFormat="1" ht="12" customHeight="1" x14ac:dyDescent="0.2">
      <c r="A20" s="69" t="s">
        <v>16</v>
      </c>
      <c r="B20" s="94" t="s">
        <v>90</v>
      </c>
      <c r="C20" s="94" t="s">
        <v>84</v>
      </c>
      <c r="D20" s="94" t="s">
        <v>81</v>
      </c>
      <c r="E20" s="94" t="s">
        <v>91</v>
      </c>
      <c r="F20" s="169">
        <v>300</v>
      </c>
      <c r="G20" s="94" t="s">
        <v>20</v>
      </c>
      <c r="H20" s="94" t="s">
        <v>20</v>
      </c>
      <c r="I20" s="95">
        <v>66.7</v>
      </c>
      <c r="J20" s="194">
        <v>310</v>
      </c>
      <c r="K20" s="195">
        <v>5</v>
      </c>
      <c r="L20" s="195"/>
      <c r="M20" s="94" t="s">
        <v>25</v>
      </c>
      <c r="N20" s="94" t="s">
        <v>67</v>
      </c>
      <c r="O20" s="94" t="s">
        <v>87</v>
      </c>
      <c r="P20" s="94" t="s">
        <v>86</v>
      </c>
      <c r="Q20" s="97">
        <v>41384</v>
      </c>
      <c r="R20" s="175" t="s">
        <v>92</v>
      </c>
      <c r="S20" s="98"/>
      <c r="T20" s="98"/>
      <c r="U20" s="98"/>
      <c r="V20" s="98"/>
      <c r="W20" s="98"/>
      <c r="X20" s="98"/>
      <c r="Y20" s="98"/>
      <c r="Z20" s="98"/>
      <c r="AA20" s="98"/>
      <c r="AB20" s="98"/>
      <c r="AC20" s="98"/>
      <c r="AD20" s="98"/>
      <c r="AE20" s="98"/>
      <c r="AF20" s="98"/>
      <c r="AG20" s="98"/>
      <c r="AH20" s="98"/>
      <c r="AI20" s="98">
        <v>1</v>
      </c>
      <c r="AJ20" s="98">
        <v>2</v>
      </c>
      <c r="AK20" s="98">
        <v>1</v>
      </c>
      <c r="AL20" s="98">
        <v>1</v>
      </c>
      <c r="AM20" s="98"/>
      <c r="AN20" s="98"/>
      <c r="AO20" s="98"/>
      <c r="AP20" s="98"/>
      <c r="AQ20" s="98"/>
      <c r="AR20" s="98"/>
      <c r="AS20" s="98"/>
      <c r="AT20" s="98"/>
      <c r="AU20" s="98"/>
      <c r="AV20" s="99"/>
      <c r="AW20" s="92">
        <f t="shared" si="2"/>
        <v>5</v>
      </c>
    </row>
    <row r="21" spans="1:49" s="62" customFormat="1" ht="12" customHeight="1" x14ac:dyDescent="0.2">
      <c r="A21" s="69" t="s">
        <v>16</v>
      </c>
      <c r="B21" s="94" t="s">
        <v>88</v>
      </c>
      <c r="C21" s="94" t="s">
        <v>84</v>
      </c>
      <c r="D21" s="94" t="s">
        <v>81</v>
      </c>
      <c r="E21" s="94" t="s">
        <v>89</v>
      </c>
      <c r="F21" s="169">
        <v>60</v>
      </c>
      <c r="G21" s="94" t="s">
        <v>20</v>
      </c>
      <c r="H21" s="94" t="s">
        <v>20</v>
      </c>
      <c r="I21" s="100">
        <v>19.8</v>
      </c>
      <c r="J21" s="194">
        <v>60</v>
      </c>
      <c r="K21" s="195"/>
      <c r="L21" s="195">
        <v>3</v>
      </c>
      <c r="M21" s="94" t="s">
        <v>74</v>
      </c>
      <c r="N21" s="94" t="s">
        <v>67</v>
      </c>
      <c r="O21" s="94" t="s">
        <v>87</v>
      </c>
      <c r="P21" s="94" t="s">
        <v>86</v>
      </c>
      <c r="Q21" s="97">
        <v>41384</v>
      </c>
      <c r="R21" s="175" t="s">
        <v>20</v>
      </c>
      <c r="S21" s="98"/>
      <c r="T21" s="98"/>
      <c r="U21" s="98"/>
      <c r="V21" s="98"/>
      <c r="W21" s="98"/>
      <c r="X21" s="98"/>
      <c r="Y21" s="98"/>
      <c r="Z21" s="98"/>
      <c r="AA21" s="98"/>
      <c r="AB21" s="98"/>
      <c r="AC21" s="98"/>
      <c r="AD21" s="98"/>
      <c r="AE21" s="98"/>
      <c r="AF21" s="98"/>
      <c r="AG21" s="98"/>
      <c r="AH21" s="98"/>
      <c r="AI21" s="98"/>
      <c r="AJ21" s="98"/>
      <c r="AK21" s="98"/>
      <c r="AL21" s="98">
        <v>3</v>
      </c>
      <c r="AM21" s="98"/>
      <c r="AN21" s="98"/>
      <c r="AO21" s="98"/>
      <c r="AP21" s="98"/>
      <c r="AQ21" s="98"/>
      <c r="AR21" s="98"/>
      <c r="AS21" s="98"/>
      <c r="AT21" s="98"/>
      <c r="AU21" s="98"/>
      <c r="AV21" s="99"/>
      <c r="AW21" s="92">
        <f t="shared" si="2"/>
        <v>3</v>
      </c>
    </row>
    <row r="22" spans="1:49" s="62" customFormat="1" ht="12" customHeight="1" x14ac:dyDescent="0.2">
      <c r="A22" s="69" t="s">
        <v>16</v>
      </c>
      <c r="B22" s="94" t="s">
        <v>93</v>
      </c>
      <c r="C22" s="94" t="s">
        <v>84</v>
      </c>
      <c r="D22" s="94" t="s">
        <v>81</v>
      </c>
      <c r="E22" s="94" t="s">
        <v>89</v>
      </c>
      <c r="F22" s="169">
        <v>80</v>
      </c>
      <c r="G22" s="94" t="s">
        <v>20</v>
      </c>
      <c r="H22" s="94" t="s">
        <v>20</v>
      </c>
      <c r="I22" s="100">
        <v>19.8</v>
      </c>
      <c r="J22" s="194">
        <v>80</v>
      </c>
      <c r="K22" s="195"/>
      <c r="L22" s="195">
        <v>4</v>
      </c>
      <c r="M22" s="94" t="s">
        <v>95</v>
      </c>
      <c r="N22" s="94" t="s">
        <v>94</v>
      </c>
      <c r="O22" s="94" t="s">
        <v>87</v>
      </c>
      <c r="P22" s="94" t="s">
        <v>86</v>
      </c>
      <c r="Q22" s="97">
        <v>41384</v>
      </c>
      <c r="R22" s="175" t="s">
        <v>20</v>
      </c>
      <c r="S22" s="98"/>
      <c r="T22" s="98"/>
      <c r="U22" s="98"/>
      <c r="V22" s="98"/>
      <c r="W22" s="98"/>
      <c r="X22" s="98"/>
      <c r="Y22" s="98"/>
      <c r="Z22" s="98"/>
      <c r="AA22" s="98"/>
      <c r="AB22" s="98"/>
      <c r="AC22" s="98"/>
      <c r="AD22" s="98"/>
      <c r="AE22" s="98"/>
      <c r="AF22" s="98"/>
      <c r="AG22" s="98"/>
      <c r="AH22" s="98"/>
      <c r="AI22" s="98"/>
      <c r="AJ22" s="98"/>
      <c r="AK22" s="98"/>
      <c r="AL22" s="98"/>
      <c r="AM22" s="98">
        <v>4</v>
      </c>
      <c r="AN22" s="98"/>
      <c r="AO22" s="98"/>
      <c r="AP22" s="98"/>
      <c r="AQ22" s="98"/>
      <c r="AR22" s="98"/>
      <c r="AS22" s="98"/>
      <c r="AT22" s="98"/>
      <c r="AU22" s="98"/>
      <c r="AV22" s="99"/>
      <c r="AW22" s="92">
        <f t="shared" si="2"/>
        <v>4</v>
      </c>
    </row>
    <row r="23" spans="1:49" s="62" customFormat="1" ht="12" customHeight="1" x14ac:dyDescent="0.2">
      <c r="A23" s="69" t="s">
        <v>16</v>
      </c>
      <c r="B23" s="94" t="s">
        <v>100</v>
      </c>
      <c r="C23" s="102" t="s">
        <v>84</v>
      </c>
      <c r="D23" s="102" t="s">
        <v>81</v>
      </c>
      <c r="E23" s="102" t="s">
        <v>101</v>
      </c>
      <c r="F23" s="170">
        <v>60</v>
      </c>
      <c r="G23" s="102" t="s">
        <v>20</v>
      </c>
      <c r="H23" s="102" t="s">
        <v>20</v>
      </c>
      <c r="I23" s="190">
        <v>20.100000000000001</v>
      </c>
      <c r="J23" s="196">
        <v>60</v>
      </c>
      <c r="K23" s="197"/>
      <c r="L23" s="197">
        <v>3</v>
      </c>
      <c r="M23" s="102" t="s">
        <v>95</v>
      </c>
      <c r="N23" s="102" t="s">
        <v>94</v>
      </c>
      <c r="O23" s="102" t="s">
        <v>87</v>
      </c>
      <c r="P23" s="102" t="s">
        <v>86</v>
      </c>
      <c r="Q23" s="103">
        <v>41384</v>
      </c>
      <c r="R23" s="176" t="s">
        <v>92</v>
      </c>
      <c r="S23" s="104"/>
      <c r="T23" s="104"/>
      <c r="U23" s="104"/>
      <c r="V23" s="104"/>
      <c r="W23" s="104"/>
      <c r="X23" s="104"/>
      <c r="Y23" s="104"/>
      <c r="Z23" s="104"/>
      <c r="AA23" s="104"/>
      <c r="AB23" s="104"/>
      <c r="AC23" s="104"/>
      <c r="AD23" s="104"/>
      <c r="AE23" s="104"/>
      <c r="AF23" s="104"/>
      <c r="AG23" s="104"/>
      <c r="AH23" s="104"/>
      <c r="AI23" s="104"/>
      <c r="AJ23" s="104"/>
      <c r="AK23" s="104"/>
      <c r="AL23" s="104"/>
      <c r="AM23" s="104"/>
      <c r="AN23" s="276">
        <v>1</v>
      </c>
      <c r="AO23" s="276">
        <v>2</v>
      </c>
      <c r="AP23" s="276"/>
      <c r="AQ23" s="104"/>
      <c r="AR23" s="104"/>
      <c r="AS23" s="104"/>
      <c r="AT23" s="104"/>
      <c r="AU23" s="98"/>
      <c r="AV23" s="105"/>
      <c r="AW23" s="92">
        <f>SUM(S23:AV23)</f>
        <v>3</v>
      </c>
    </row>
    <row r="24" spans="1:49" s="62" customFormat="1" ht="12" customHeight="1" x14ac:dyDescent="0.2">
      <c r="A24" s="69" t="s">
        <v>16</v>
      </c>
      <c r="B24" s="94" t="s">
        <v>83</v>
      </c>
      <c r="C24" s="102" t="s">
        <v>84</v>
      </c>
      <c r="D24" s="102" t="s">
        <v>81</v>
      </c>
      <c r="E24" s="102" t="s">
        <v>85</v>
      </c>
      <c r="F24" s="170">
        <v>180</v>
      </c>
      <c r="G24" s="102" t="s">
        <v>20</v>
      </c>
      <c r="H24" s="102" t="s">
        <v>20</v>
      </c>
      <c r="I24" s="95">
        <v>60</v>
      </c>
      <c r="J24" s="196">
        <v>180</v>
      </c>
      <c r="K24" s="197">
        <v>3</v>
      </c>
      <c r="L24" s="197"/>
      <c r="M24" s="102" t="s">
        <v>25</v>
      </c>
      <c r="N24" s="102" t="s">
        <v>67</v>
      </c>
      <c r="O24" s="102" t="s">
        <v>87</v>
      </c>
      <c r="P24" s="102" t="s">
        <v>86</v>
      </c>
      <c r="Q24" s="103">
        <v>41384</v>
      </c>
      <c r="R24" s="176" t="s">
        <v>20</v>
      </c>
      <c r="S24" s="104"/>
      <c r="T24" s="104"/>
      <c r="U24" s="104"/>
      <c r="V24" s="104"/>
      <c r="W24" s="104"/>
      <c r="X24" s="104"/>
      <c r="Y24" s="104"/>
      <c r="Z24" s="104"/>
      <c r="AA24" s="104"/>
      <c r="AB24" s="104"/>
      <c r="AC24" s="104"/>
      <c r="AD24" s="104"/>
      <c r="AE24" s="104"/>
      <c r="AF24" s="104"/>
      <c r="AG24" s="104"/>
      <c r="AH24" s="104"/>
      <c r="AI24" s="104"/>
      <c r="AJ24" s="104"/>
      <c r="AK24" s="104"/>
      <c r="AL24" s="104"/>
      <c r="AM24" s="104"/>
      <c r="AN24" s="276"/>
      <c r="AO24" s="276"/>
      <c r="AP24" s="276">
        <v>3</v>
      </c>
      <c r="AQ24" s="104"/>
      <c r="AR24" s="104"/>
      <c r="AS24" s="104"/>
      <c r="AT24" s="104"/>
      <c r="AU24" s="98"/>
      <c r="AV24" s="105"/>
      <c r="AW24" s="92">
        <f>SUM(S24:AV24)</f>
        <v>3</v>
      </c>
    </row>
    <row r="25" spans="1:49" s="62" customFormat="1" ht="12" customHeight="1" x14ac:dyDescent="0.2">
      <c r="A25" s="69" t="s">
        <v>16</v>
      </c>
      <c r="B25" s="94" t="s">
        <v>96</v>
      </c>
      <c r="C25" s="94" t="s">
        <v>84</v>
      </c>
      <c r="D25" s="94" t="s">
        <v>81</v>
      </c>
      <c r="E25" s="94" t="s">
        <v>97</v>
      </c>
      <c r="F25" s="169">
        <v>250</v>
      </c>
      <c r="G25" s="94" t="s">
        <v>20</v>
      </c>
      <c r="H25" s="94" t="s">
        <v>20</v>
      </c>
      <c r="I25" s="100">
        <v>20.8</v>
      </c>
      <c r="J25" s="194">
        <v>250</v>
      </c>
      <c r="K25" s="195"/>
      <c r="L25" s="195">
        <v>12</v>
      </c>
      <c r="M25" s="94" t="s">
        <v>95</v>
      </c>
      <c r="N25" s="94" t="s">
        <v>94</v>
      </c>
      <c r="O25" s="94" t="s">
        <v>87</v>
      </c>
      <c r="P25" s="94" t="s">
        <v>86</v>
      </c>
      <c r="Q25" s="97">
        <v>41384</v>
      </c>
      <c r="R25" s="175" t="s">
        <v>20</v>
      </c>
      <c r="S25" s="98"/>
      <c r="T25" s="98"/>
      <c r="U25" s="98"/>
      <c r="V25" s="98"/>
      <c r="W25" s="98"/>
      <c r="X25" s="98"/>
      <c r="Y25" s="98"/>
      <c r="Z25" s="98"/>
      <c r="AA25" s="98"/>
      <c r="AB25" s="98"/>
      <c r="AC25" s="98"/>
      <c r="AD25" s="98"/>
      <c r="AE25" s="98"/>
      <c r="AF25" s="98"/>
      <c r="AG25" s="98"/>
      <c r="AH25" s="98"/>
      <c r="AI25" s="98"/>
      <c r="AJ25" s="98"/>
      <c r="AK25" s="98"/>
      <c r="AL25" s="98"/>
      <c r="AM25" s="98"/>
      <c r="AN25" s="277"/>
      <c r="AO25" s="277"/>
      <c r="AP25" s="277"/>
      <c r="AQ25" s="98">
        <v>3</v>
      </c>
      <c r="AR25" s="98">
        <v>3</v>
      </c>
      <c r="AS25" s="98">
        <v>3</v>
      </c>
      <c r="AT25" s="98">
        <v>3</v>
      </c>
      <c r="AU25" s="98"/>
      <c r="AV25" s="99"/>
      <c r="AW25" s="92">
        <f t="shared" si="2"/>
        <v>12</v>
      </c>
    </row>
    <row r="26" spans="1:49" s="65" customFormat="1" ht="12" customHeight="1" x14ac:dyDescent="0.2">
      <c r="A26" s="70" t="s">
        <v>16</v>
      </c>
      <c r="B26" s="93" t="s">
        <v>102</v>
      </c>
      <c r="C26" s="94" t="s">
        <v>84</v>
      </c>
      <c r="D26" s="94" t="s">
        <v>81</v>
      </c>
      <c r="E26" s="94" t="s">
        <v>103</v>
      </c>
      <c r="F26" s="169">
        <v>80</v>
      </c>
      <c r="G26" s="94" t="s">
        <v>20</v>
      </c>
      <c r="H26" s="94" t="s">
        <v>20</v>
      </c>
      <c r="I26" s="95">
        <v>20</v>
      </c>
      <c r="J26" s="194">
        <v>80</v>
      </c>
      <c r="K26" s="195"/>
      <c r="L26" s="195">
        <v>4</v>
      </c>
      <c r="M26" s="94" t="s">
        <v>95</v>
      </c>
      <c r="N26" s="94" t="s">
        <v>104</v>
      </c>
      <c r="O26" s="94" t="s">
        <v>106</v>
      </c>
      <c r="P26" s="94" t="s">
        <v>105</v>
      </c>
      <c r="Q26" s="97">
        <v>41394</v>
      </c>
      <c r="R26" s="175" t="s">
        <v>107</v>
      </c>
      <c r="S26" s="98"/>
      <c r="T26" s="98"/>
      <c r="U26" s="98"/>
      <c r="V26" s="98"/>
      <c r="W26" s="98"/>
      <c r="X26" s="98"/>
      <c r="Y26" s="98"/>
      <c r="Z26" s="98"/>
      <c r="AA26" s="98"/>
      <c r="AB26" s="98"/>
      <c r="AC26" s="98"/>
      <c r="AD26" s="98"/>
      <c r="AE26" s="98"/>
      <c r="AF26" s="98"/>
      <c r="AG26" s="98"/>
      <c r="AH26" s="98"/>
      <c r="AI26" s="98"/>
      <c r="AJ26" s="98"/>
      <c r="AK26" s="98"/>
      <c r="AL26" s="98"/>
      <c r="AM26" s="98"/>
      <c r="AN26" s="98"/>
      <c r="AO26" s="98"/>
      <c r="AP26" s="98"/>
      <c r="AQ26" s="98"/>
      <c r="AR26" s="98"/>
      <c r="AS26" s="98"/>
      <c r="AT26" s="98">
        <v>3</v>
      </c>
      <c r="AU26" s="98">
        <v>1</v>
      </c>
      <c r="AV26" s="99"/>
      <c r="AW26" s="92">
        <f t="shared" si="2"/>
        <v>4</v>
      </c>
    </row>
    <row r="27" spans="1:49" s="65" customFormat="1" ht="12" customHeight="1" x14ac:dyDescent="0.2">
      <c r="A27" s="70" t="s">
        <v>16</v>
      </c>
      <c r="B27" s="93" t="s">
        <v>108</v>
      </c>
      <c r="C27" s="94" t="s">
        <v>84</v>
      </c>
      <c r="D27" s="94" t="s">
        <v>81</v>
      </c>
      <c r="E27" s="94" t="s">
        <v>103</v>
      </c>
      <c r="F27" s="169">
        <v>80</v>
      </c>
      <c r="G27" s="94" t="s">
        <v>20</v>
      </c>
      <c r="H27" s="94" t="s">
        <v>20</v>
      </c>
      <c r="I27" s="95">
        <v>20</v>
      </c>
      <c r="J27" s="96">
        <v>80</v>
      </c>
      <c r="K27" s="109"/>
      <c r="L27" s="109">
        <v>4</v>
      </c>
      <c r="M27" s="94" t="s">
        <v>95</v>
      </c>
      <c r="N27" s="94" t="s">
        <v>104</v>
      </c>
      <c r="O27" s="94" t="s">
        <v>109</v>
      </c>
      <c r="P27" s="94" t="s">
        <v>105</v>
      </c>
      <c r="Q27" s="97">
        <v>41394</v>
      </c>
      <c r="R27" s="175" t="s">
        <v>107</v>
      </c>
      <c r="S27" s="98"/>
      <c r="T27" s="98"/>
      <c r="U27" s="98"/>
      <c r="V27" s="98"/>
      <c r="W27" s="98"/>
      <c r="X27" s="98"/>
      <c r="Y27" s="98"/>
      <c r="Z27" s="98"/>
      <c r="AA27" s="98"/>
      <c r="AB27" s="98"/>
      <c r="AC27" s="98"/>
      <c r="AD27" s="98"/>
      <c r="AE27" s="98"/>
      <c r="AF27" s="98"/>
      <c r="AG27" s="98"/>
      <c r="AH27" s="98"/>
      <c r="AI27" s="98"/>
      <c r="AJ27" s="98"/>
      <c r="AK27" s="98"/>
      <c r="AL27" s="98"/>
      <c r="AM27" s="98"/>
      <c r="AN27" s="98"/>
      <c r="AO27" s="98"/>
      <c r="AP27" s="98"/>
      <c r="AQ27" s="98"/>
      <c r="AR27" s="98"/>
      <c r="AS27" s="98"/>
      <c r="AT27" s="98"/>
      <c r="AU27" s="98">
        <v>3</v>
      </c>
      <c r="AV27" s="99">
        <v>1</v>
      </c>
      <c r="AW27" s="92">
        <f t="shared" si="2"/>
        <v>4</v>
      </c>
    </row>
    <row r="28" spans="1:49" s="65" customFormat="1" ht="12" customHeight="1" thickBot="1" x14ac:dyDescent="0.25">
      <c r="A28" s="70" t="s">
        <v>16</v>
      </c>
      <c r="B28" s="179" t="s">
        <v>110</v>
      </c>
      <c r="C28" s="180" t="s">
        <v>84</v>
      </c>
      <c r="D28" s="180" t="s">
        <v>81</v>
      </c>
      <c r="E28" s="180" t="s">
        <v>103</v>
      </c>
      <c r="F28" s="181">
        <v>60</v>
      </c>
      <c r="G28" s="180" t="s">
        <v>20</v>
      </c>
      <c r="H28" s="180" t="s">
        <v>20</v>
      </c>
      <c r="I28" s="193">
        <v>20</v>
      </c>
      <c r="J28" s="182">
        <v>60</v>
      </c>
      <c r="K28" s="183"/>
      <c r="L28" s="183">
        <v>3</v>
      </c>
      <c r="M28" s="180" t="s">
        <v>95</v>
      </c>
      <c r="N28" s="180" t="s">
        <v>104</v>
      </c>
      <c r="O28" s="180" t="s">
        <v>111</v>
      </c>
      <c r="P28" s="180" t="s">
        <v>105</v>
      </c>
      <c r="Q28" s="184">
        <v>41394</v>
      </c>
      <c r="R28" s="185" t="s">
        <v>107</v>
      </c>
      <c r="S28" s="186"/>
      <c r="T28" s="186"/>
      <c r="U28" s="186"/>
      <c r="V28" s="186"/>
      <c r="W28" s="186"/>
      <c r="X28" s="186"/>
      <c r="Y28" s="186"/>
      <c r="Z28" s="186"/>
      <c r="AA28" s="186"/>
      <c r="AB28" s="186"/>
      <c r="AC28" s="186"/>
      <c r="AD28" s="186"/>
      <c r="AE28" s="186"/>
      <c r="AF28" s="186"/>
      <c r="AG28" s="186"/>
      <c r="AH28" s="186"/>
      <c r="AI28" s="186"/>
      <c r="AJ28" s="186"/>
      <c r="AK28" s="186"/>
      <c r="AL28" s="186"/>
      <c r="AM28" s="186"/>
      <c r="AN28" s="186"/>
      <c r="AO28" s="186"/>
      <c r="AP28" s="186"/>
      <c r="AQ28" s="186"/>
      <c r="AR28" s="186"/>
      <c r="AS28" s="186"/>
      <c r="AT28" s="186"/>
      <c r="AU28" s="186"/>
      <c r="AV28" s="187">
        <v>3</v>
      </c>
      <c r="AW28" s="188">
        <f t="shared" si="2"/>
        <v>3</v>
      </c>
    </row>
    <row r="29" spans="1:49" x14ac:dyDescent="0.2">
      <c r="I29" s="111"/>
    </row>
    <row r="30" spans="1:49" x14ac:dyDescent="0.2">
      <c r="I30" s="111"/>
    </row>
    <row r="31" spans="1:49" ht="13.5" thickBot="1" x14ac:dyDescent="0.25">
      <c r="B31" s="112"/>
      <c r="C31" s="112"/>
      <c r="D31" s="112"/>
      <c r="E31" s="112"/>
      <c r="F31" s="160"/>
      <c r="G31" s="161"/>
      <c r="H31" s="113"/>
      <c r="I31" s="162"/>
      <c r="J31" s="163"/>
      <c r="K31" s="163"/>
      <c r="L31" s="164"/>
      <c r="M31" s="112"/>
      <c r="N31" s="112"/>
      <c r="O31" s="112"/>
      <c r="P31" s="112"/>
      <c r="Q31" s="165"/>
      <c r="R31" s="177"/>
      <c r="S31" s="189"/>
      <c r="T31" s="189"/>
      <c r="U31" s="189"/>
      <c r="V31" s="189"/>
      <c r="W31" s="189"/>
      <c r="X31" s="189"/>
      <c r="Y31" s="189"/>
      <c r="Z31" s="189"/>
      <c r="AA31" s="189"/>
      <c r="AB31" s="189"/>
      <c r="AC31" s="189"/>
      <c r="AD31" s="189"/>
      <c r="AE31" s="189"/>
      <c r="AF31" s="189"/>
      <c r="AG31" s="189"/>
      <c r="AH31" s="189"/>
      <c r="AI31" s="189"/>
      <c r="AJ31" s="189"/>
      <c r="AK31" s="189"/>
      <c r="AL31" s="189"/>
      <c r="AM31" s="189"/>
      <c r="AN31" s="189"/>
      <c r="AO31" s="189"/>
      <c r="AP31" s="189"/>
      <c r="AQ31" s="189"/>
      <c r="AR31" s="189"/>
      <c r="AS31" s="189"/>
      <c r="AT31" s="189"/>
      <c r="AU31" s="189"/>
      <c r="AV31" s="189"/>
    </row>
    <row r="32" spans="1:49" s="250" customFormat="1" ht="36.75" thickBot="1" x14ac:dyDescent="0.25">
      <c r="B32" s="199" t="s">
        <v>223</v>
      </c>
      <c r="C32" s="200" t="s">
        <v>2</v>
      </c>
      <c r="D32" s="200" t="s">
        <v>3</v>
      </c>
      <c r="E32" s="200" t="s">
        <v>4</v>
      </c>
      <c r="F32" s="201" t="s">
        <v>5</v>
      </c>
      <c r="G32" s="201" t="s">
        <v>239</v>
      </c>
      <c r="H32" s="201" t="s">
        <v>240</v>
      </c>
      <c r="I32" s="202" t="s">
        <v>203</v>
      </c>
      <c r="J32" s="203" t="s">
        <v>204</v>
      </c>
      <c r="K32" s="203" t="s">
        <v>205</v>
      </c>
      <c r="L32" s="203" t="s">
        <v>206</v>
      </c>
      <c r="M32" s="200" t="s">
        <v>11</v>
      </c>
      <c r="N32" s="200" t="s">
        <v>225</v>
      </c>
      <c r="O32" s="200" t="s">
        <v>227</v>
      </c>
      <c r="P32" s="200" t="s">
        <v>9</v>
      </c>
      <c r="Q32" s="200" t="s">
        <v>226</v>
      </c>
      <c r="R32" s="200" t="s">
        <v>12</v>
      </c>
      <c r="S32" s="204">
        <v>1</v>
      </c>
      <c r="T32" s="204">
        <v>2</v>
      </c>
      <c r="U32" s="204">
        <v>3</v>
      </c>
      <c r="V32" s="204">
        <v>4</v>
      </c>
      <c r="W32" s="204">
        <v>5</v>
      </c>
      <c r="X32" s="204">
        <v>6</v>
      </c>
      <c r="Y32" s="204">
        <v>7</v>
      </c>
      <c r="Z32" s="204">
        <v>8</v>
      </c>
      <c r="AA32" s="204">
        <v>9</v>
      </c>
      <c r="AB32" s="204">
        <v>10</v>
      </c>
      <c r="AC32" s="204">
        <v>11</v>
      </c>
      <c r="AD32" s="204">
        <v>12</v>
      </c>
      <c r="AE32" s="204">
        <v>13</v>
      </c>
      <c r="AF32" s="204">
        <v>14</v>
      </c>
      <c r="AG32" s="204">
        <v>15</v>
      </c>
      <c r="AH32" s="204">
        <v>16</v>
      </c>
      <c r="AI32" s="204">
        <v>17</v>
      </c>
      <c r="AJ32" s="204">
        <v>18</v>
      </c>
      <c r="AK32" s="204">
        <v>19</v>
      </c>
      <c r="AL32" s="204">
        <v>20</v>
      </c>
      <c r="AM32" s="204">
        <v>21</v>
      </c>
      <c r="AN32" s="204">
        <v>22</v>
      </c>
      <c r="AO32" s="204">
        <v>23</v>
      </c>
      <c r="AP32" s="204">
        <v>24</v>
      </c>
      <c r="AQ32" s="204">
        <v>25</v>
      </c>
      <c r="AR32" s="204">
        <v>26</v>
      </c>
      <c r="AS32" s="204">
        <v>27</v>
      </c>
      <c r="AT32" s="204">
        <v>28</v>
      </c>
      <c r="AU32" s="204">
        <v>29</v>
      </c>
      <c r="AV32" s="204">
        <v>30</v>
      </c>
      <c r="AW32" s="119" t="s">
        <v>228</v>
      </c>
    </row>
    <row r="33" spans="2:49" s="250" customFormat="1" ht="20.25" customHeight="1" x14ac:dyDescent="0.2">
      <c r="B33" s="260" t="s">
        <v>158</v>
      </c>
      <c r="C33" s="205" t="s">
        <v>138</v>
      </c>
      <c r="D33" s="205" t="s">
        <v>65</v>
      </c>
      <c r="E33" s="205" t="s">
        <v>159</v>
      </c>
      <c r="F33" s="206">
        <v>400</v>
      </c>
      <c r="G33" s="207"/>
      <c r="H33" s="207"/>
      <c r="I33" s="208">
        <v>66.7</v>
      </c>
      <c r="J33" s="209">
        <v>134</v>
      </c>
      <c r="K33" s="209">
        <v>2</v>
      </c>
      <c r="L33" s="209"/>
      <c r="M33" s="205" t="s">
        <v>25</v>
      </c>
      <c r="N33" s="205"/>
      <c r="O33" s="205" t="s">
        <v>152</v>
      </c>
      <c r="P33" s="205" t="s">
        <v>157</v>
      </c>
      <c r="Q33" s="205" t="s">
        <v>241</v>
      </c>
      <c r="R33" s="210" t="s">
        <v>20</v>
      </c>
      <c r="S33" s="211"/>
      <c r="T33" s="211"/>
      <c r="U33" s="211"/>
      <c r="V33" s="211"/>
      <c r="W33" s="211"/>
      <c r="X33" s="211"/>
      <c r="Y33" s="211"/>
      <c r="Z33" s="211"/>
      <c r="AA33" s="211"/>
      <c r="AB33" s="211"/>
      <c r="AC33" s="211"/>
      <c r="AD33" s="211"/>
      <c r="AE33" s="211"/>
      <c r="AF33" s="211">
        <v>1</v>
      </c>
      <c r="AG33" s="211"/>
      <c r="AH33" s="211"/>
      <c r="AI33" s="211">
        <v>1</v>
      </c>
      <c r="AJ33" s="211"/>
      <c r="AK33" s="211"/>
      <c r="AL33" s="211"/>
      <c r="AM33" s="211"/>
      <c r="AN33" s="211"/>
      <c r="AO33" s="211"/>
      <c r="AP33" s="211"/>
      <c r="AQ33" s="211"/>
      <c r="AR33" s="211"/>
      <c r="AS33" s="211"/>
      <c r="AT33" s="211"/>
      <c r="AU33" s="211"/>
      <c r="AV33" s="211"/>
      <c r="AW33" s="212">
        <f>SUM(S33:AV33)</f>
        <v>2</v>
      </c>
    </row>
    <row r="34" spans="2:49" s="250" customFormat="1" ht="20.25" customHeight="1" x14ac:dyDescent="0.2">
      <c r="B34" s="213" t="s">
        <v>242</v>
      </c>
      <c r="C34" s="214" t="s">
        <v>138</v>
      </c>
      <c r="D34" s="214" t="s">
        <v>65</v>
      </c>
      <c r="E34" s="214" t="s">
        <v>159</v>
      </c>
      <c r="F34" s="215">
        <v>325</v>
      </c>
      <c r="G34" s="216">
        <v>140</v>
      </c>
      <c r="H34" s="216"/>
      <c r="I34" s="217">
        <v>65</v>
      </c>
      <c r="J34" s="218">
        <v>158</v>
      </c>
      <c r="K34" s="218">
        <v>5</v>
      </c>
      <c r="L34" s="218"/>
      <c r="M34" s="214" t="s">
        <v>25</v>
      </c>
      <c r="N34" s="214"/>
      <c r="O34" s="214" t="s">
        <v>152</v>
      </c>
      <c r="P34" s="214" t="s">
        <v>180</v>
      </c>
      <c r="Q34" s="214" t="s">
        <v>243</v>
      </c>
      <c r="R34" s="219" t="s">
        <v>244</v>
      </c>
      <c r="S34" s="153"/>
      <c r="T34" s="153"/>
      <c r="U34" s="153"/>
      <c r="V34" s="153"/>
      <c r="W34" s="153">
        <v>1</v>
      </c>
      <c r="X34" s="153"/>
      <c r="Y34" s="153"/>
      <c r="Z34" s="153">
        <v>1</v>
      </c>
      <c r="AA34" s="153"/>
      <c r="AB34" s="153"/>
      <c r="AC34" s="153">
        <v>1</v>
      </c>
      <c r="AD34" s="153"/>
      <c r="AE34" s="153"/>
      <c r="AF34" s="153"/>
      <c r="AG34" s="153"/>
      <c r="AH34" s="153"/>
      <c r="AI34" s="153"/>
      <c r="AJ34" s="153"/>
      <c r="AK34" s="153"/>
      <c r="AL34" s="153"/>
      <c r="AM34" s="153"/>
      <c r="AN34" s="153"/>
      <c r="AO34" s="153"/>
      <c r="AP34" s="153"/>
      <c r="AQ34" s="153"/>
      <c r="AR34" s="153"/>
      <c r="AS34" s="153"/>
      <c r="AT34" s="153"/>
      <c r="AU34" s="153"/>
      <c r="AV34" s="153"/>
      <c r="AW34" s="220">
        <f t="shared" ref="AW34:AW40" si="3">SUM(S34:AV34)</f>
        <v>3</v>
      </c>
    </row>
    <row r="35" spans="2:49" s="250" customFormat="1" ht="20.25" customHeight="1" thickBot="1" x14ac:dyDescent="0.25">
      <c r="B35" s="221" t="s">
        <v>161</v>
      </c>
      <c r="C35" s="222" t="s">
        <v>245</v>
      </c>
      <c r="D35" s="222" t="s">
        <v>65</v>
      </c>
      <c r="E35" s="222" t="s">
        <v>149</v>
      </c>
      <c r="F35" s="223">
        <v>40</v>
      </c>
      <c r="G35" s="224">
        <v>1.0940000000000001</v>
      </c>
      <c r="H35" s="224"/>
      <c r="I35" s="225"/>
      <c r="J35" s="226">
        <v>39</v>
      </c>
      <c r="K35" s="226"/>
      <c r="L35" s="226"/>
      <c r="M35" s="222" t="s">
        <v>153</v>
      </c>
      <c r="N35" s="222"/>
      <c r="O35" s="222" t="s">
        <v>152</v>
      </c>
      <c r="P35" s="222" t="s">
        <v>246</v>
      </c>
      <c r="Q35" s="222" t="s">
        <v>247</v>
      </c>
      <c r="R35" s="227" t="s">
        <v>248</v>
      </c>
      <c r="S35" s="228"/>
      <c r="T35" s="228"/>
      <c r="U35" s="228"/>
      <c r="V35" s="228"/>
      <c r="W35" s="228"/>
      <c r="X35" s="228"/>
      <c r="Y35" s="228"/>
      <c r="Z35" s="228"/>
      <c r="AA35" s="228"/>
      <c r="AB35" s="228"/>
      <c r="AC35" s="228" t="s">
        <v>260</v>
      </c>
      <c r="AD35" s="228"/>
      <c r="AE35" s="228"/>
      <c r="AF35" s="228"/>
      <c r="AG35" s="228"/>
      <c r="AH35" s="228"/>
      <c r="AI35" s="228"/>
      <c r="AJ35" s="228"/>
      <c r="AK35" s="228"/>
      <c r="AL35" s="228"/>
      <c r="AM35" s="228"/>
      <c r="AN35" s="228"/>
      <c r="AO35" s="228"/>
      <c r="AP35" s="228"/>
      <c r="AQ35" s="228"/>
      <c r="AR35" s="228"/>
      <c r="AS35" s="228"/>
      <c r="AT35" s="228"/>
      <c r="AU35" s="228"/>
      <c r="AV35" s="228"/>
      <c r="AW35" s="229">
        <f t="shared" si="3"/>
        <v>0</v>
      </c>
    </row>
    <row r="36" spans="2:49" s="250" customFormat="1" ht="20.25" customHeight="1" x14ac:dyDescent="0.2">
      <c r="B36" s="230" t="s">
        <v>137</v>
      </c>
      <c r="C36" s="231" t="s">
        <v>138</v>
      </c>
      <c r="D36" s="231" t="s">
        <v>81</v>
      </c>
      <c r="E36" s="231" t="s">
        <v>249</v>
      </c>
      <c r="F36" s="232">
        <v>60</v>
      </c>
      <c r="G36" s="233"/>
      <c r="H36" s="233"/>
      <c r="I36" s="234">
        <v>60</v>
      </c>
      <c r="J36" s="235">
        <v>60</v>
      </c>
      <c r="K36" s="235">
        <v>1</v>
      </c>
      <c r="L36" s="235"/>
      <c r="M36" s="231" t="s">
        <v>25</v>
      </c>
      <c r="N36" s="231" t="s">
        <v>34</v>
      </c>
      <c r="O36" s="231" t="s">
        <v>73</v>
      </c>
      <c r="P36" s="231" t="s">
        <v>72</v>
      </c>
      <c r="Q36" s="236">
        <v>41389</v>
      </c>
      <c r="R36" s="237" t="s">
        <v>20</v>
      </c>
      <c r="S36" s="238"/>
      <c r="T36" s="238"/>
      <c r="U36" s="238"/>
      <c r="V36" s="238"/>
      <c r="W36" s="238"/>
      <c r="X36" s="238"/>
      <c r="Y36" s="238"/>
      <c r="Z36" s="238"/>
      <c r="AA36" s="238"/>
      <c r="AB36" s="238"/>
      <c r="AC36" s="238"/>
      <c r="AD36" s="238"/>
      <c r="AE36" s="238"/>
      <c r="AF36" s="238"/>
      <c r="AG36" s="238"/>
      <c r="AH36" s="238"/>
      <c r="AI36" s="238"/>
      <c r="AJ36" s="238"/>
      <c r="AK36" s="238"/>
      <c r="AL36" s="238"/>
      <c r="AM36" s="238"/>
      <c r="AN36" s="238"/>
      <c r="AO36" s="238"/>
      <c r="AP36" s="238"/>
      <c r="AQ36" s="238"/>
      <c r="AR36" s="238"/>
      <c r="AS36" s="238"/>
      <c r="AT36" s="238"/>
      <c r="AU36" s="238">
        <v>1</v>
      </c>
      <c r="AV36" s="238">
        <v>2</v>
      </c>
      <c r="AW36" s="239">
        <f t="shared" si="3"/>
        <v>3</v>
      </c>
    </row>
    <row r="37" spans="2:49" s="250" customFormat="1" ht="20.25" customHeight="1" x14ac:dyDescent="0.2">
      <c r="B37" s="240" t="s">
        <v>140</v>
      </c>
      <c r="C37" s="241" t="s">
        <v>138</v>
      </c>
      <c r="D37" s="241" t="s">
        <v>81</v>
      </c>
      <c r="E37" s="241" t="s">
        <v>249</v>
      </c>
      <c r="F37" s="242">
        <v>21</v>
      </c>
      <c r="G37" s="243"/>
      <c r="H37" s="243"/>
      <c r="I37" s="244">
        <v>21</v>
      </c>
      <c r="J37" s="245">
        <v>21</v>
      </c>
      <c r="K37" s="245"/>
      <c r="L37" s="245">
        <v>1</v>
      </c>
      <c r="M37" s="241" t="s">
        <v>74</v>
      </c>
      <c r="N37" s="241" t="s">
        <v>67</v>
      </c>
      <c r="O37" s="241" t="s">
        <v>87</v>
      </c>
      <c r="P37" s="241" t="s">
        <v>141</v>
      </c>
      <c r="Q37" s="246">
        <v>41387</v>
      </c>
      <c r="R37" s="247"/>
      <c r="S37" s="248"/>
      <c r="T37" s="248"/>
      <c r="U37" s="248"/>
      <c r="V37" s="248"/>
      <c r="W37" s="248"/>
      <c r="X37" s="248"/>
      <c r="Y37" s="248"/>
      <c r="Z37" s="248"/>
      <c r="AA37" s="248"/>
      <c r="AB37" s="248"/>
      <c r="AC37" s="248"/>
      <c r="AD37" s="248"/>
      <c r="AE37" s="248"/>
      <c r="AF37" s="248"/>
      <c r="AG37" s="248"/>
      <c r="AH37" s="248"/>
      <c r="AI37" s="248"/>
      <c r="AJ37" s="248"/>
      <c r="AK37" s="248"/>
      <c r="AL37" s="248"/>
      <c r="AM37" s="248"/>
      <c r="AN37" s="248"/>
      <c r="AO37" s="248"/>
      <c r="AP37" s="248"/>
      <c r="AQ37" s="248"/>
      <c r="AR37" s="248"/>
      <c r="AS37" s="248"/>
      <c r="AT37" s="248"/>
      <c r="AU37" s="248">
        <v>1</v>
      </c>
      <c r="AV37" s="248"/>
      <c r="AW37" s="249">
        <f t="shared" si="3"/>
        <v>1</v>
      </c>
    </row>
    <row r="38" spans="2:49" s="250" customFormat="1" ht="20.25" customHeight="1" x14ac:dyDescent="0.2">
      <c r="B38" s="240" t="s">
        <v>143</v>
      </c>
      <c r="C38" s="241" t="s">
        <v>138</v>
      </c>
      <c r="D38" s="241" t="s">
        <v>81</v>
      </c>
      <c r="E38" s="241" t="s">
        <v>249</v>
      </c>
      <c r="F38" s="242">
        <v>100</v>
      </c>
      <c r="G38" s="243"/>
      <c r="H38" s="243"/>
      <c r="I38" s="244">
        <v>20</v>
      </c>
      <c r="J38" s="245">
        <v>100</v>
      </c>
      <c r="K38" s="245"/>
      <c r="L38" s="245">
        <v>5</v>
      </c>
      <c r="M38" s="241" t="s">
        <v>74</v>
      </c>
      <c r="N38" s="241" t="s">
        <v>67</v>
      </c>
      <c r="O38" s="241" t="s">
        <v>87</v>
      </c>
      <c r="P38" s="241" t="s">
        <v>86</v>
      </c>
      <c r="Q38" s="246">
        <v>41384</v>
      </c>
      <c r="R38" s="247" t="s">
        <v>20</v>
      </c>
      <c r="S38" s="248"/>
      <c r="T38" s="248"/>
      <c r="U38" s="248"/>
      <c r="V38" s="248">
        <v>1</v>
      </c>
      <c r="W38" s="248"/>
      <c r="X38" s="248"/>
      <c r="Y38" s="248"/>
      <c r="Z38" s="248"/>
      <c r="AA38" s="248"/>
      <c r="AB38" s="248"/>
      <c r="AC38" s="248">
        <v>1</v>
      </c>
      <c r="AD38" s="248"/>
      <c r="AE38" s="248"/>
      <c r="AF38" s="248"/>
      <c r="AG38" s="248"/>
      <c r="AH38" s="248"/>
      <c r="AI38" s="248"/>
      <c r="AJ38" s="248"/>
      <c r="AK38" s="248"/>
      <c r="AL38" s="248"/>
      <c r="AM38" s="248"/>
      <c r="AN38" s="248"/>
      <c r="AO38" s="248"/>
      <c r="AP38" s="248"/>
      <c r="AQ38" s="248"/>
      <c r="AR38" s="248">
        <v>1</v>
      </c>
      <c r="AS38" s="248"/>
      <c r="AT38" s="248">
        <v>2</v>
      </c>
      <c r="AU38" s="248"/>
      <c r="AV38" s="248"/>
      <c r="AW38" s="249">
        <f t="shared" si="3"/>
        <v>5</v>
      </c>
    </row>
    <row r="39" spans="2:49" s="278" customFormat="1" ht="20.25" customHeight="1" x14ac:dyDescent="0.25">
      <c r="B39" s="261" t="s">
        <v>158</v>
      </c>
      <c r="C39" s="251" t="s">
        <v>138</v>
      </c>
      <c r="D39" s="251" t="s">
        <v>81</v>
      </c>
      <c r="E39" s="257" t="s">
        <v>159</v>
      </c>
      <c r="F39" s="252">
        <v>400</v>
      </c>
      <c r="G39" s="253"/>
      <c r="H39" s="253"/>
      <c r="I39" s="254">
        <v>66.7</v>
      </c>
      <c r="J39" s="255">
        <v>283</v>
      </c>
      <c r="K39" s="255">
        <v>4</v>
      </c>
      <c r="L39" s="255"/>
      <c r="M39" s="251"/>
      <c r="N39" s="251"/>
      <c r="O39" s="251"/>
      <c r="P39" s="251"/>
      <c r="Q39" s="256"/>
      <c r="R39" s="257"/>
      <c r="S39" s="258"/>
      <c r="T39" s="258"/>
      <c r="U39" s="258"/>
      <c r="V39" s="258"/>
      <c r="W39" s="258"/>
      <c r="X39" s="258"/>
      <c r="Y39" s="258"/>
      <c r="Z39" s="258"/>
      <c r="AA39" s="258"/>
      <c r="AB39" s="258"/>
      <c r="AC39" s="258"/>
      <c r="AD39" s="258"/>
      <c r="AE39" s="258"/>
      <c r="AF39" s="258"/>
      <c r="AG39" s="258"/>
      <c r="AH39" s="258"/>
      <c r="AI39" s="258"/>
      <c r="AJ39" s="258">
        <v>1</v>
      </c>
      <c r="AK39" s="258"/>
      <c r="AL39" s="258">
        <v>1</v>
      </c>
      <c r="AM39" s="258"/>
      <c r="AN39" s="258"/>
      <c r="AO39" s="258">
        <v>1</v>
      </c>
      <c r="AP39" s="258"/>
      <c r="AQ39" s="258"/>
      <c r="AR39" s="258">
        <v>1</v>
      </c>
      <c r="AS39" s="258"/>
      <c r="AT39" s="258"/>
      <c r="AU39" s="258"/>
      <c r="AV39" s="258"/>
      <c r="AW39" s="259">
        <f t="shared" si="3"/>
        <v>4</v>
      </c>
    </row>
    <row r="40" spans="2:49" s="250" customFormat="1" ht="25.5" customHeight="1" thickBot="1" x14ac:dyDescent="0.25">
      <c r="B40" s="221" t="s">
        <v>250</v>
      </c>
      <c r="C40" s="222" t="s">
        <v>245</v>
      </c>
      <c r="D40" s="222" t="s">
        <v>81</v>
      </c>
      <c r="E40" s="222" t="s">
        <v>149</v>
      </c>
      <c r="F40" s="223">
        <v>65</v>
      </c>
      <c r="G40" s="224"/>
      <c r="H40" s="224"/>
      <c r="I40" s="225">
        <v>65</v>
      </c>
      <c r="J40" s="226">
        <v>55</v>
      </c>
      <c r="K40" s="226">
        <v>1</v>
      </c>
      <c r="L40" s="226"/>
      <c r="M40" s="222" t="s">
        <v>25</v>
      </c>
      <c r="N40" s="222"/>
      <c r="O40" s="222" t="s">
        <v>152</v>
      </c>
      <c r="P40" s="222" t="s">
        <v>251</v>
      </c>
      <c r="Q40" s="222" t="s">
        <v>252</v>
      </c>
      <c r="R40" s="227" t="s">
        <v>253</v>
      </c>
      <c r="S40" s="228"/>
      <c r="T40" s="228"/>
      <c r="U40" s="228"/>
      <c r="V40" s="228"/>
      <c r="W40" s="228"/>
      <c r="X40" s="228">
        <v>1</v>
      </c>
      <c r="Y40" s="228"/>
      <c r="Z40" s="228"/>
      <c r="AA40" s="228"/>
      <c r="AB40" s="228"/>
      <c r="AC40" s="228"/>
      <c r="AD40" s="228"/>
      <c r="AE40" s="228"/>
      <c r="AF40" s="228"/>
      <c r="AG40" s="228"/>
      <c r="AH40" s="228"/>
      <c r="AI40" s="228"/>
      <c r="AJ40" s="228"/>
      <c r="AK40" s="228"/>
      <c r="AL40" s="228"/>
      <c r="AM40" s="228"/>
      <c r="AN40" s="228"/>
      <c r="AO40" s="228"/>
      <c r="AP40" s="228"/>
      <c r="AQ40" s="228"/>
      <c r="AR40" s="228"/>
      <c r="AS40" s="228"/>
      <c r="AT40" s="228"/>
      <c r="AU40" s="228"/>
      <c r="AV40" s="228"/>
      <c r="AW40" s="229">
        <f t="shared" si="3"/>
        <v>1</v>
      </c>
    </row>
    <row r="41" spans="2:49" x14ac:dyDescent="0.2">
      <c r="B41" s="112"/>
      <c r="C41" s="112"/>
      <c r="D41" s="112"/>
      <c r="E41" s="112"/>
      <c r="F41" s="160"/>
      <c r="G41" s="161"/>
      <c r="H41" s="113"/>
      <c r="I41" s="162"/>
      <c r="J41" s="163"/>
      <c r="K41" s="163"/>
      <c r="L41" s="164"/>
      <c r="M41" s="112"/>
      <c r="N41" s="112"/>
      <c r="O41" s="112"/>
      <c r="P41" s="112"/>
      <c r="Q41" s="165"/>
      <c r="R41" s="177"/>
      <c r="S41" s="189"/>
      <c r="T41" s="189"/>
      <c r="U41" s="189">
        <f>SUM(U33:U40)</f>
        <v>0</v>
      </c>
      <c r="V41" s="189">
        <f t="shared" ref="V41:AV41" si="4">SUM(V33:V40)</f>
        <v>1</v>
      </c>
      <c r="W41" s="189">
        <f t="shared" si="4"/>
        <v>1</v>
      </c>
      <c r="X41" s="189">
        <f t="shared" si="4"/>
        <v>1</v>
      </c>
      <c r="Y41" s="189">
        <f t="shared" si="4"/>
        <v>0</v>
      </c>
      <c r="Z41" s="189">
        <f t="shared" si="4"/>
        <v>1</v>
      </c>
      <c r="AA41" s="189">
        <f t="shared" si="4"/>
        <v>0</v>
      </c>
      <c r="AB41" s="189">
        <f t="shared" si="4"/>
        <v>0</v>
      </c>
      <c r="AC41" s="189">
        <f t="shared" si="4"/>
        <v>2</v>
      </c>
      <c r="AD41" s="189">
        <f t="shared" si="4"/>
        <v>0</v>
      </c>
      <c r="AE41" s="189">
        <f t="shared" si="4"/>
        <v>0</v>
      </c>
      <c r="AF41" s="189">
        <f t="shared" si="4"/>
        <v>1</v>
      </c>
      <c r="AG41" s="189">
        <f t="shared" si="4"/>
        <v>0</v>
      </c>
      <c r="AH41" s="189">
        <f t="shared" si="4"/>
        <v>0</v>
      </c>
      <c r="AI41" s="189">
        <f t="shared" si="4"/>
        <v>1</v>
      </c>
      <c r="AJ41" s="189">
        <f t="shared" si="4"/>
        <v>1</v>
      </c>
      <c r="AK41" s="189">
        <f t="shared" si="4"/>
        <v>0</v>
      </c>
      <c r="AL41" s="189">
        <f t="shared" si="4"/>
        <v>1</v>
      </c>
      <c r="AM41" s="189">
        <f t="shared" si="4"/>
        <v>0</v>
      </c>
      <c r="AN41" s="189">
        <f t="shared" si="4"/>
        <v>0</v>
      </c>
      <c r="AO41" s="189">
        <f t="shared" si="4"/>
        <v>1</v>
      </c>
      <c r="AP41" s="189">
        <f t="shared" si="4"/>
        <v>0</v>
      </c>
      <c r="AQ41" s="189">
        <f t="shared" si="4"/>
        <v>0</v>
      </c>
      <c r="AR41" s="189">
        <f t="shared" si="4"/>
        <v>2</v>
      </c>
      <c r="AS41" s="189">
        <f t="shared" si="4"/>
        <v>0</v>
      </c>
      <c r="AT41" s="189">
        <f t="shared" si="4"/>
        <v>2</v>
      </c>
      <c r="AU41" s="189">
        <f t="shared" si="4"/>
        <v>2</v>
      </c>
      <c r="AV41" s="189">
        <f t="shared" si="4"/>
        <v>2</v>
      </c>
    </row>
    <row r="43" spans="2:49" ht="36" x14ac:dyDescent="0.2">
      <c r="B43" s="2" t="s">
        <v>1</v>
      </c>
      <c r="C43" s="2" t="s">
        <v>2</v>
      </c>
      <c r="D43" s="2" t="s">
        <v>3</v>
      </c>
      <c r="E43" s="2" t="s">
        <v>4</v>
      </c>
      <c r="F43" s="3"/>
      <c r="G43" s="114"/>
      <c r="H43" s="115"/>
      <c r="I43" s="116"/>
      <c r="J43" s="34" t="s">
        <v>204</v>
      </c>
      <c r="K43" s="34" t="s">
        <v>205</v>
      </c>
      <c r="L43" s="34" t="s">
        <v>206</v>
      </c>
      <c r="M43" s="2" t="s">
        <v>11</v>
      </c>
      <c r="N43" s="2" t="s">
        <v>7</v>
      </c>
      <c r="O43" s="2" t="s">
        <v>10</v>
      </c>
      <c r="P43" s="2" t="s">
        <v>9</v>
      </c>
      <c r="Q43" s="2" t="s">
        <v>13</v>
      </c>
      <c r="R43" s="117" t="s">
        <v>12</v>
      </c>
      <c r="S43" s="118">
        <v>1</v>
      </c>
      <c r="T43" s="118">
        <v>2</v>
      </c>
      <c r="U43" s="118">
        <v>3</v>
      </c>
      <c r="V43" s="118">
        <v>4</v>
      </c>
      <c r="W43" s="118">
        <v>5</v>
      </c>
      <c r="X43" s="118">
        <v>6</v>
      </c>
      <c r="Y43" s="118">
        <v>7</v>
      </c>
      <c r="Z43" s="118">
        <v>8</v>
      </c>
      <c r="AA43" s="118">
        <v>9</v>
      </c>
      <c r="AB43" s="118">
        <v>10</v>
      </c>
      <c r="AC43" s="118">
        <v>11</v>
      </c>
      <c r="AD43" s="118">
        <v>12</v>
      </c>
      <c r="AE43" s="118">
        <v>13</v>
      </c>
      <c r="AF43" s="118">
        <v>14</v>
      </c>
      <c r="AG43" s="118">
        <v>15</v>
      </c>
      <c r="AH43" s="118">
        <v>16</v>
      </c>
      <c r="AI43" s="118">
        <v>17</v>
      </c>
      <c r="AJ43" s="118">
        <v>18</v>
      </c>
      <c r="AK43" s="118">
        <v>19</v>
      </c>
      <c r="AL43" s="118">
        <v>20</v>
      </c>
      <c r="AM43" s="118">
        <v>21</v>
      </c>
      <c r="AN43" s="118">
        <v>22</v>
      </c>
      <c r="AO43" s="118">
        <v>23</v>
      </c>
      <c r="AP43" s="118">
        <v>24</v>
      </c>
      <c r="AQ43" s="118">
        <v>25</v>
      </c>
      <c r="AR43" s="118">
        <v>26</v>
      </c>
      <c r="AS43" s="118">
        <v>27</v>
      </c>
      <c r="AT43" s="118">
        <v>28</v>
      </c>
      <c r="AU43" s="118">
        <v>29</v>
      </c>
      <c r="AV43" s="118">
        <v>30</v>
      </c>
      <c r="AW43" s="119" t="s">
        <v>228</v>
      </c>
    </row>
    <row r="44" spans="2:49" x14ac:dyDescent="0.2">
      <c r="B44" s="120"/>
      <c r="C44" s="120" t="s">
        <v>170</v>
      </c>
      <c r="D44" s="120" t="s">
        <v>81</v>
      </c>
      <c r="E44" s="120"/>
      <c r="F44" s="121"/>
      <c r="G44" s="122"/>
      <c r="H44" s="123"/>
      <c r="I44" s="124"/>
      <c r="J44" s="125">
        <v>325</v>
      </c>
      <c r="K44" s="126">
        <f>J44/67</f>
        <v>4.8507462686567164</v>
      </c>
      <c r="L44" s="125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>
        <v>1</v>
      </c>
      <c r="X44" s="120"/>
      <c r="Y44" s="120"/>
      <c r="Z44" s="120"/>
      <c r="AA44" s="120"/>
      <c r="AB44" s="120">
        <v>4</v>
      </c>
      <c r="AC44" s="120"/>
      <c r="AD44" s="120"/>
      <c r="AE44" s="120"/>
      <c r="AF44" s="120"/>
      <c r="AG44" s="120"/>
      <c r="AH44" s="120"/>
      <c r="AI44" s="120"/>
      <c r="AJ44" s="120"/>
      <c r="AK44" s="120"/>
      <c r="AL44" s="120"/>
      <c r="AM44" s="120"/>
      <c r="AN44" s="120"/>
      <c r="AO44" s="120"/>
      <c r="AP44" s="120"/>
      <c r="AQ44" s="120"/>
      <c r="AR44" s="120"/>
      <c r="AS44" s="120"/>
      <c r="AT44" s="120"/>
      <c r="AU44" s="120"/>
      <c r="AV44" s="120"/>
      <c r="AW44" s="127">
        <f>SUM(S44:AV44)</f>
        <v>5</v>
      </c>
    </row>
    <row r="45" spans="2:49" x14ac:dyDescent="0.2">
      <c r="B45" s="128"/>
      <c r="C45" s="128" t="s">
        <v>229</v>
      </c>
      <c r="D45" s="128" t="s">
        <v>81</v>
      </c>
      <c r="E45" s="128"/>
      <c r="F45" s="129"/>
      <c r="G45" s="130"/>
      <c r="H45" s="131"/>
      <c r="I45" s="132"/>
      <c r="J45" s="133">
        <v>1235</v>
      </c>
      <c r="K45" s="134">
        <f t="shared" ref="K45:K48" si="5">J45/67</f>
        <v>18.432835820895523</v>
      </c>
      <c r="L45" s="133"/>
      <c r="M45" s="128"/>
      <c r="N45" s="128"/>
      <c r="O45" s="128"/>
      <c r="P45" s="128"/>
      <c r="Q45" s="128"/>
      <c r="R45" s="128"/>
      <c r="S45" s="128"/>
      <c r="T45" s="128">
        <v>1</v>
      </c>
      <c r="U45" s="128"/>
      <c r="V45" s="128">
        <v>1</v>
      </c>
      <c r="W45" s="128"/>
      <c r="X45" s="128"/>
      <c r="Y45" s="128">
        <v>1</v>
      </c>
      <c r="Z45" s="128"/>
      <c r="AA45" s="128">
        <v>1</v>
      </c>
      <c r="AB45" s="128"/>
      <c r="AC45" s="128">
        <v>1</v>
      </c>
      <c r="AD45" s="128">
        <v>1</v>
      </c>
      <c r="AE45" s="128">
        <v>1</v>
      </c>
      <c r="AF45" s="128"/>
      <c r="AG45" s="128">
        <v>1</v>
      </c>
      <c r="AH45" s="128">
        <v>1</v>
      </c>
      <c r="AI45" s="128"/>
      <c r="AJ45" s="128">
        <v>1</v>
      </c>
      <c r="AK45" s="128">
        <v>1</v>
      </c>
      <c r="AL45" s="128">
        <v>1</v>
      </c>
      <c r="AM45" s="128">
        <v>1</v>
      </c>
      <c r="AN45" s="128"/>
      <c r="AO45" s="128">
        <v>1</v>
      </c>
      <c r="AP45" s="128"/>
      <c r="AQ45" s="128">
        <v>1</v>
      </c>
      <c r="AR45" s="128">
        <v>1</v>
      </c>
      <c r="AS45" s="128">
        <v>1</v>
      </c>
      <c r="AT45" s="128"/>
      <c r="AU45" s="128">
        <v>1</v>
      </c>
      <c r="AV45" s="128"/>
      <c r="AW45" s="135">
        <f>SUM(S45:AV45)</f>
        <v>18</v>
      </c>
    </row>
    <row r="46" spans="2:49" x14ac:dyDescent="0.2">
      <c r="B46" s="136"/>
      <c r="C46" s="136" t="s">
        <v>230</v>
      </c>
      <c r="D46" s="136" t="s">
        <v>81</v>
      </c>
      <c r="E46" s="136"/>
      <c r="F46" s="137"/>
      <c r="G46" s="138"/>
      <c r="H46" s="139"/>
      <c r="I46" s="140"/>
      <c r="J46" s="141">
        <v>2542</v>
      </c>
      <c r="K46" s="142">
        <f t="shared" si="5"/>
        <v>37.940298507462686</v>
      </c>
      <c r="L46" s="141"/>
      <c r="M46" s="136"/>
      <c r="N46" s="136"/>
      <c r="O46" s="136"/>
      <c r="P46" s="136"/>
      <c r="Q46" s="136"/>
      <c r="R46" s="136"/>
      <c r="S46" s="136"/>
      <c r="T46" s="136">
        <v>1</v>
      </c>
      <c r="U46" s="136">
        <v>2</v>
      </c>
      <c r="V46" s="136">
        <v>2</v>
      </c>
      <c r="W46" s="136">
        <v>2</v>
      </c>
      <c r="X46" s="136">
        <v>2</v>
      </c>
      <c r="Y46" s="136">
        <v>2</v>
      </c>
      <c r="Z46" s="136">
        <v>2</v>
      </c>
      <c r="AA46" s="136">
        <v>2</v>
      </c>
      <c r="AB46" s="136">
        <v>2</v>
      </c>
      <c r="AC46" s="136">
        <v>2</v>
      </c>
      <c r="AD46" s="136">
        <v>2</v>
      </c>
      <c r="AE46" s="136">
        <v>2</v>
      </c>
      <c r="AF46" s="136">
        <v>1</v>
      </c>
      <c r="AG46" s="136">
        <v>2</v>
      </c>
      <c r="AH46" s="136">
        <v>1</v>
      </c>
      <c r="AI46" s="136">
        <v>1</v>
      </c>
      <c r="AJ46" s="136">
        <v>1</v>
      </c>
      <c r="AK46" s="136">
        <v>1</v>
      </c>
      <c r="AL46" s="136">
        <v>1</v>
      </c>
      <c r="AM46" s="136">
        <v>1</v>
      </c>
      <c r="AN46" s="136">
        <v>1</v>
      </c>
      <c r="AO46" s="136">
        <v>1</v>
      </c>
      <c r="AP46" s="136">
        <v>1</v>
      </c>
      <c r="AQ46" s="136">
        <v>1</v>
      </c>
      <c r="AR46" s="136">
        <v>1</v>
      </c>
      <c r="AS46" s="136"/>
      <c r="AT46" s="136">
        <v>1</v>
      </c>
      <c r="AU46" s="136"/>
      <c r="AV46" s="136"/>
      <c r="AW46" s="143">
        <f>SUM(S46:AV46)</f>
        <v>38</v>
      </c>
    </row>
    <row r="47" spans="2:49" x14ac:dyDescent="0.2">
      <c r="B47" s="144"/>
      <c r="C47" s="144" t="s">
        <v>231</v>
      </c>
      <c r="D47" s="144" t="s">
        <v>81</v>
      </c>
      <c r="E47" s="144"/>
      <c r="F47" s="145"/>
      <c r="G47" s="146"/>
      <c r="H47" s="147"/>
      <c r="I47" s="148"/>
      <c r="J47" s="149">
        <v>1204</v>
      </c>
      <c r="K47" s="150">
        <f>J47/67</f>
        <v>17.970149253731343</v>
      </c>
      <c r="L47" s="149"/>
      <c r="M47" s="144"/>
      <c r="N47" s="144"/>
      <c r="O47" s="144"/>
      <c r="P47" s="144"/>
      <c r="Q47" s="144"/>
      <c r="R47" s="144"/>
      <c r="S47" s="144"/>
      <c r="T47" s="144">
        <v>1</v>
      </c>
      <c r="U47" s="144"/>
      <c r="V47" s="144">
        <v>1</v>
      </c>
      <c r="W47" s="144">
        <v>1</v>
      </c>
      <c r="X47" s="144"/>
      <c r="Y47" s="144">
        <v>1</v>
      </c>
      <c r="Z47" s="144">
        <v>1</v>
      </c>
      <c r="AA47" s="144"/>
      <c r="AB47" s="144">
        <v>1</v>
      </c>
      <c r="AC47" s="144"/>
      <c r="AD47" s="144">
        <v>1</v>
      </c>
      <c r="AE47" s="144"/>
      <c r="AF47" s="144">
        <v>1</v>
      </c>
      <c r="AG47" s="144"/>
      <c r="AH47" s="144">
        <v>1</v>
      </c>
      <c r="AI47" s="144"/>
      <c r="AJ47" s="144">
        <v>1</v>
      </c>
      <c r="AK47" s="144">
        <v>1</v>
      </c>
      <c r="AL47" s="144">
        <v>1</v>
      </c>
      <c r="AM47" s="144"/>
      <c r="AN47" s="144">
        <v>1</v>
      </c>
      <c r="AO47" s="144"/>
      <c r="AP47" s="144">
        <v>1</v>
      </c>
      <c r="AQ47" s="144"/>
      <c r="AR47" s="144">
        <v>1</v>
      </c>
      <c r="AS47" s="144">
        <v>1</v>
      </c>
      <c r="AT47" s="144">
        <v>1</v>
      </c>
      <c r="AU47" s="144"/>
      <c r="AV47" s="144">
        <v>1</v>
      </c>
      <c r="AW47" s="151">
        <f>SUM(S47:AV47)</f>
        <v>18</v>
      </c>
    </row>
    <row r="48" spans="2:49" x14ac:dyDescent="0.2">
      <c r="B48" s="152"/>
      <c r="C48" s="152" t="s">
        <v>232</v>
      </c>
      <c r="D48" s="152" t="s">
        <v>81</v>
      </c>
      <c r="E48" s="152"/>
      <c r="F48" s="153"/>
      <c r="G48" s="154"/>
      <c r="H48" s="155"/>
      <c r="I48" s="156"/>
      <c r="J48" s="157">
        <v>16209</v>
      </c>
      <c r="K48" s="158">
        <f t="shared" si="5"/>
        <v>241.92537313432837</v>
      </c>
      <c r="L48" s="157"/>
      <c r="M48" s="152"/>
      <c r="N48" s="152"/>
      <c r="O48" s="152"/>
      <c r="P48" s="152"/>
      <c r="Q48" s="152"/>
      <c r="R48" s="152"/>
      <c r="S48" s="152">
        <v>8</v>
      </c>
      <c r="T48" s="152">
        <v>9</v>
      </c>
      <c r="U48" s="152">
        <v>8</v>
      </c>
      <c r="V48" s="152">
        <v>9</v>
      </c>
      <c r="W48" s="152">
        <v>8</v>
      </c>
      <c r="X48" s="152">
        <v>9</v>
      </c>
      <c r="Y48" s="152">
        <v>8</v>
      </c>
      <c r="Z48" s="152">
        <v>9</v>
      </c>
      <c r="AA48" s="152">
        <v>8</v>
      </c>
      <c r="AB48" s="152">
        <v>9</v>
      </c>
      <c r="AC48" s="152">
        <v>8</v>
      </c>
      <c r="AD48" s="152">
        <v>9</v>
      </c>
      <c r="AE48" s="152">
        <v>8</v>
      </c>
      <c r="AF48" s="152">
        <v>8</v>
      </c>
      <c r="AG48" s="152">
        <v>8</v>
      </c>
      <c r="AH48" s="152">
        <v>8</v>
      </c>
      <c r="AI48" s="152">
        <v>8</v>
      </c>
      <c r="AJ48" s="152">
        <v>8</v>
      </c>
      <c r="AK48" s="152">
        <v>8</v>
      </c>
      <c r="AL48" s="152">
        <v>8</v>
      </c>
      <c r="AM48" s="152">
        <v>8</v>
      </c>
      <c r="AN48" s="152">
        <v>8</v>
      </c>
      <c r="AO48" s="152">
        <v>8</v>
      </c>
      <c r="AP48" s="152">
        <v>8</v>
      </c>
      <c r="AQ48" s="152">
        <v>8</v>
      </c>
      <c r="AR48" s="152">
        <v>9</v>
      </c>
      <c r="AS48" s="152">
        <v>8</v>
      </c>
      <c r="AT48" s="152">
        <v>9</v>
      </c>
      <c r="AU48" s="152">
        <v>9</v>
      </c>
      <c r="AV48" s="152">
        <v>1</v>
      </c>
      <c r="AW48" s="159">
        <f>SUM(S48:AV48)</f>
        <v>242</v>
      </c>
    </row>
  </sheetData>
  <phoneticPr fontId="0" type="noConversion"/>
  <pageMargins left="0.25" right="0.25" top="0.75" bottom="0.75" header="0.3" footer="0.3"/>
  <pageSetup scale="4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"/>
  <sheetViews>
    <sheetView workbookViewId="0">
      <selection activeCell="G4" sqref="G4"/>
    </sheetView>
  </sheetViews>
  <sheetFormatPr defaultRowHeight="12.75" x14ac:dyDescent="0.2"/>
  <cols>
    <col min="1" max="1" width="11.140625" style="1" customWidth="1"/>
    <col min="2" max="2" width="4.85546875" style="1" customWidth="1"/>
    <col min="3" max="3" width="10.42578125" style="1" customWidth="1"/>
    <col min="4" max="4" width="17.140625" style="1" customWidth="1"/>
    <col min="5" max="5" width="11.28515625" style="1" customWidth="1"/>
    <col min="6" max="6" width="13.85546875" style="1" customWidth="1"/>
    <col min="7" max="7" width="8.28515625" style="22" customWidth="1"/>
    <col min="8" max="10" width="11.28515625" style="25" customWidth="1"/>
    <col min="11" max="11" width="7.7109375" style="1" customWidth="1"/>
    <col min="12" max="12" width="21.85546875" style="1" customWidth="1"/>
    <col min="13" max="13" width="18" style="1" customWidth="1"/>
    <col min="14" max="14" width="35.7109375" style="1" customWidth="1"/>
    <col min="15" max="16384" width="9.140625" style="1"/>
  </cols>
  <sheetData>
    <row r="1" spans="1:14" x14ac:dyDescent="0.2">
      <c r="A1" s="1" t="s">
        <v>202</v>
      </c>
    </row>
    <row r="2" spans="1:14" ht="24" x14ac:dyDescent="0.2">
      <c r="A2" s="2" t="s">
        <v>1</v>
      </c>
      <c r="B2" s="2" t="s">
        <v>2</v>
      </c>
      <c r="C2" s="2" t="s">
        <v>3</v>
      </c>
      <c r="D2" s="2" t="s">
        <v>4</v>
      </c>
      <c r="E2" s="3" t="s">
        <v>5</v>
      </c>
      <c r="F2" s="2" t="s">
        <v>11</v>
      </c>
      <c r="G2" s="23" t="s">
        <v>203</v>
      </c>
      <c r="H2" s="26" t="s">
        <v>204</v>
      </c>
      <c r="I2" s="26" t="s">
        <v>205</v>
      </c>
      <c r="J2" s="26" t="s">
        <v>206</v>
      </c>
      <c r="K2" s="2" t="s">
        <v>6</v>
      </c>
      <c r="L2" s="2" t="s">
        <v>7</v>
      </c>
      <c r="M2" s="2" t="s">
        <v>10</v>
      </c>
      <c r="N2" s="2" t="s">
        <v>12</v>
      </c>
    </row>
    <row r="3" spans="1:14" ht="12" customHeight="1" x14ac:dyDescent="0.2">
      <c r="A3" s="14"/>
      <c r="B3" s="14" t="s">
        <v>195</v>
      </c>
      <c r="C3" s="14" t="s">
        <v>196</v>
      </c>
      <c r="D3" s="14"/>
      <c r="E3" s="14">
        <v>13000</v>
      </c>
      <c r="F3" s="14" t="s">
        <v>25</v>
      </c>
      <c r="G3" s="24">
        <v>66.8</v>
      </c>
      <c r="H3" s="27">
        <f>E3+E4-H4</f>
        <v>21296</v>
      </c>
      <c r="I3" s="27">
        <v>319</v>
      </c>
      <c r="J3" s="27"/>
      <c r="K3" s="14" t="s">
        <v>21</v>
      </c>
      <c r="L3" s="14" t="s">
        <v>34</v>
      </c>
      <c r="M3" s="15" t="s">
        <v>73</v>
      </c>
      <c r="N3" s="14"/>
    </row>
    <row r="4" spans="1:14" ht="12" customHeight="1" x14ac:dyDescent="0.2">
      <c r="A4" s="16"/>
      <c r="B4" s="14" t="s">
        <v>195</v>
      </c>
      <c r="C4" s="14" t="s">
        <v>196</v>
      </c>
      <c r="D4" s="14"/>
      <c r="E4" s="14">
        <v>15856</v>
      </c>
      <c r="F4" s="14" t="s">
        <v>222</v>
      </c>
      <c r="G4" s="24">
        <v>63</v>
      </c>
      <c r="H4" s="27">
        <v>7560</v>
      </c>
      <c r="I4" s="27">
        <v>120</v>
      </c>
      <c r="J4" s="27"/>
      <c r="K4" s="14" t="s">
        <v>21</v>
      </c>
      <c r="L4" s="14" t="s">
        <v>34</v>
      </c>
      <c r="M4" s="17" t="s">
        <v>73</v>
      </c>
      <c r="N4" s="14"/>
    </row>
    <row r="5" spans="1:14" ht="12" customHeight="1" x14ac:dyDescent="0.2">
      <c r="A5" s="14"/>
      <c r="B5" s="14" t="s">
        <v>195</v>
      </c>
      <c r="C5" s="14" t="s">
        <v>196</v>
      </c>
      <c r="D5" s="14"/>
      <c r="E5" s="14">
        <v>8771</v>
      </c>
      <c r="F5" s="14" t="s">
        <v>25</v>
      </c>
      <c r="G5" s="24">
        <v>66.900000000000006</v>
      </c>
      <c r="H5" s="27">
        <v>8771</v>
      </c>
      <c r="I5" s="27">
        <v>131</v>
      </c>
      <c r="J5" s="27"/>
      <c r="K5" s="14" t="s">
        <v>21</v>
      </c>
      <c r="L5" s="14" t="s">
        <v>197</v>
      </c>
      <c r="M5" s="14" t="s">
        <v>36</v>
      </c>
      <c r="N5" s="14"/>
    </row>
    <row r="6" spans="1:14" ht="12" customHeight="1" x14ac:dyDescent="0.2">
      <c r="A6" s="18"/>
      <c r="B6" s="18" t="s">
        <v>145</v>
      </c>
      <c r="C6" s="19" t="s">
        <v>196</v>
      </c>
      <c r="D6" s="20"/>
      <c r="E6" s="14">
        <v>2730</v>
      </c>
      <c r="F6" s="18" t="s">
        <v>25</v>
      </c>
      <c r="G6" s="24">
        <v>66.599999999999994</v>
      </c>
      <c r="H6" s="27">
        <v>2730</v>
      </c>
      <c r="I6" s="27">
        <v>41</v>
      </c>
      <c r="J6" s="27"/>
      <c r="K6" s="18" t="s">
        <v>21</v>
      </c>
      <c r="L6" s="18" t="s">
        <v>22</v>
      </c>
      <c r="M6" s="18" t="s">
        <v>131</v>
      </c>
      <c r="N6" s="14"/>
    </row>
    <row r="7" spans="1:14" ht="12" customHeight="1" x14ac:dyDescent="0.2">
      <c r="A7" s="18"/>
      <c r="B7" s="18" t="s">
        <v>146</v>
      </c>
      <c r="C7" s="18" t="s">
        <v>196</v>
      </c>
      <c r="D7" s="18"/>
      <c r="E7" s="14">
        <v>1235</v>
      </c>
      <c r="F7" s="18" t="s">
        <v>25</v>
      </c>
      <c r="G7" s="24">
        <v>65</v>
      </c>
      <c r="H7" s="27">
        <v>1235</v>
      </c>
      <c r="I7" s="27">
        <v>19</v>
      </c>
      <c r="J7" s="27"/>
      <c r="K7" s="21" t="s">
        <v>21</v>
      </c>
      <c r="L7" s="21" t="s">
        <v>22</v>
      </c>
      <c r="M7" s="18" t="s">
        <v>131</v>
      </c>
      <c r="N7" s="14"/>
    </row>
    <row r="8" spans="1:14" ht="12" customHeight="1" x14ac:dyDescent="0.2">
      <c r="A8" s="18" t="s">
        <v>198</v>
      </c>
      <c r="B8" s="18" t="s">
        <v>195</v>
      </c>
      <c r="C8" s="18" t="s">
        <v>196</v>
      </c>
      <c r="D8" s="18" t="s">
        <v>199</v>
      </c>
      <c r="E8" s="14">
        <v>1350</v>
      </c>
      <c r="F8" s="18" t="s">
        <v>74</v>
      </c>
      <c r="G8" s="24">
        <v>27</v>
      </c>
      <c r="H8" s="27">
        <v>1350</v>
      </c>
      <c r="I8" s="27"/>
      <c r="J8" s="27">
        <v>50</v>
      </c>
      <c r="K8" s="18" t="s">
        <v>21</v>
      </c>
      <c r="L8" s="18" t="s">
        <v>208</v>
      </c>
      <c r="M8" s="18" t="s">
        <v>36</v>
      </c>
      <c r="N8" s="18" t="s">
        <v>201</v>
      </c>
    </row>
    <row r="9" spans="1:14" ht="12" customHeight="1" x14ac:dyDescent="0.2">
      <c r="A9" s="18" t="s">
        <v>200</v>
      </c>
      <c r="B9" s="18" t="s">
        <v>195</v>
      </c>
      <c r="C9" s="18" t="s">
        <v>196</v>
      </c>
      <c r="D9" s="18" t="s">
        <v>199</v>
      </c>
      <c r="E9" s="14">
        <v>1350</v>
      </c>
      <c r="F9" s="20" t="s">
        <v>95</v>
      </c>
      <c r="G9" s="24">
        <v>27</v>
      </c>
      <c r="H9" s="27">
        <v>1350</v>
      </c>
      <c r="I9" s="27"/>
      <c r="J9" s="27">
        <v>50</v>
      </c>
      <c r="K9" s="18" t="s">
        <v>21</v>
      </c>
      <c r="L9" s="18" t="s">
        <v>34</v>
      </c>
      <c r="M9" s="18" t="s">
        <v>36</v>
      </c>
      <c r="N9" s="18" t="s">
        <v>201</v>
      </c>
    </row>
    <row r="10" spans="1:14" x14ac:dyDescent="0.2">
      <c r="E10" s="1">
        <f>SUM(E3:E9)</f>
        <v>44292</v>
      </c>
      <c r="G10" s="28"/>
      <c r="H10" s="29">
        <f>SUM(H3:H9)</f>
        <v>44292</v>
      </c>
      <c r="I10" s="29">
        <f>SUM(I3:I9)</f>
        <v>630</v>
      </c>
      <c r="J10" s="29">
        <f>SUM(J3:J9)</f>
        <v>100</v>
      </c>
    </row>
  </sheetData>
  <autoFilter ref="A2:N10"/>
  <phoneticPr fontId="8" type="noConversion"/>
  <pageMargins left="0.75" right="0.75" top="1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8"/>
  <sheetViews>
    <sheetView topLeftCell="A16" workbookViewId="0">
      <selection activeCell="A45" sqref="A45:Q47"/>
    </sheetView>
  </sheetViews>
  <sheetFormatPr defaultRowHeight="12.75" x14ac:dyDescent="0.2"/>
  <cols>
    <col min="1" max="1" width="11.140625" style="1" customWidth="1"/>
    <col min="2" max="2" width="16.140625" style="1" bestFit="1" customWidth="1"/>
    <col min="3" max="3" width="10.42578125" style="1" customWidth="1"/>
    <col min="4" max="4" width="19.42578125" style="1" customWidth="1"/>
    <col min="5" max="5" width="11.28515625" style="1" customWidth="1"/>
    <col min="6" max="6" width="6.42578125" style="1" customWidth="1"/>
    <col min="7" max="7" width="7.42578125" style="1" customWidth="1"/>
    <col min="8" max="8" width="7.42578125" style="22" customWidth="1"/>
    <col min="9" max="9" width="9.28515625" style="25" customWidth="1"/>
    <col min="10" max="11" width="7.42578125" style="25" customWidth="1"/>
    <col min="12" max="12" width="18.5703125" style="1" bestFit="1" customWidth="1"/>
    <col min="13" max="13" width="19.85546875" style="1" customWidth="1"/>
    <col min="14" max="14" width="18" style="1" customWidth="1"/>
    <col min="15" max="15" width="25.42578125" style="1" customWidth="1"/>
    <col min="16" max="16" width="10.42578125" style="1" customWidth="1"/>
    <col min="17" max="17" width="56" style="1" customWidth="1"/>
    <col min="18" max="16384" width="9.140625" style="1"/>
  </cols>
  <sheetData>
    <row r="1" spans="1:17" x14ac:dyDescent="0.2">
      <c r="A1" s="1" t="s">
        <v>202</v>
      </c>
    </row>
    <row r="2" spans="1:17" ht="24" x14ac:dyDescent="0.2">
      <c r="A2" s="2" t="s">
        <v>1</v>
      </c>
      <c r="B2" s="2" t="s">
        <v>2</v>
      </c>
      <c r="C2" s="2" t="s">
        <v>3</v>
      </c>
      <c r="D2" s="2" t="s">
        <v>4</v>
      </c>
      <c r="E2" s="3" t="s">
        <v>5</v>
      </c>
      <c r="F2" s="2" t="s">
        <v>14</v>
      </c>
      <c r="G2" s="2" t="s">
        <v>15</v>
      </c>
      <c r="H2" s="38" t="s">
        <v>207</v>
      </c>
      <c r="I2" s="34" t="s">
        <v>204</v>
      </c>
      <c r="J2" s="34" t="s">
        <v>205</v>
      </c>
      <c r="K2" s="34" t="s">
        <v>206</v>
      </c>
      <c r="L2" s="2" t="s">
        <v>11</v>
      </c>
      <c r="M2" s="2" t="s">
        <v>7</v>
      </c>
      <c r="N2" s="2" t="s">
        <v>10</v>
      </c>
      <c r="O2" s="2" t="s">
        <v>9</v>
      </c>
      <c r="P2" s="2" t="s">
        <v>226</v>
      </c>
      <c r="Q2" s="2" t="s">
        <v>12</v>
      </c>
    </row>
    <row r="3" spans="1:17" ht="12" customHeight="1" x14ac:dyDescent="0.2">
      <c r="A3" s="4" t="s">
        <v>17</v>
      </c>
      <c r="B3" s="4" t="s">
        <v>18</v>
      </c>
      <c r="C3" s="4" t="s">
        <v>19</v>
      </c>
      <c r="D3" s="4" t="s">
        <v>20</v>
      </c>
      <c r="E3" s="30">
        <v>350</v>
      </c>
      <c r="F3" s="4" t="s">
        <v>20</v>
      </c>
      <c r="G3" s="4" t="s">
        <v>20</v>
      </c>
      <c r="H3" s="39">
        <v>62</v>
      </c>
      <c r="I3" s="35">
        <v>350</v>
      </c>
      <c r="J3" s="35">
        <v>6</v>
      </c>
      <c r="K3" s="35"/>
      <c r="L3" s="4" t="s">
        <v>25</v>
      </c>
      <c r="M3" s="4" t="s">
        <v>22</v>
      </c>
      <c r="N3" s="4" t="s">
        <v>24</v>
      </c>
      <c r="O3" s="4" t="s">
        <v>23</v>
      </c>
      <c r="P3" s="5">
        <v>41388</v>
      </c>
      <c r="Q3" s="4" t="s">
        <v>20</v>
      </c>
    </row>
    <row r="4" spans="1:17" ht="12" customHeight="1" x14ac:dyDescent="0.2">
      <c r="A4" s="4" t="s">
        <v>26</v>
      </c>
      <c r="B4" s="4" t="s">
        <v>27</v>
      </c>
      <c r="C4" s="4" t="s">
        <v>19</v>
      </c>
      <c r="D4" s="4" t="s">
        <v>20</v>
      </c>
      <c r="E4" s="30">
        <v>450</v>
      </c>
      <c r="F4" s="4" t="s">
        <v>20</v>
      </c>
      <c r="G4" s="4" t="s">
        <v>20</v>
      </c>
      <c r="H4" s="39">
        <v>62</v>
      </c>
      <c r="I4" s="35">
        <v>450</v>
      </c>
      <c r="J4" s="35">
        <v>7</v>
      </c>
      <c r="K4" s="35"/>
      <c r="L4" s="4" t="s">
        <v>25</v>
      </c>
      <c r="M4" s="4" t="s">
        <v>22</v>
      </c>
      <c r="N4" s="4" t="s">
        <v>24</v>
      </c>
      <c r="O4" s="4" t="s">
        <v>23</v>
      </c>
      <c r="P4" s="5">
        <v>41388</v>
      </c>
      <c r="Q4" s="4" t="s">
        <v>20</v>
      </c>
    </row>
    <row r="5" spans="1:17" ht="12" customHeight="1" x14ac:dyDescent="0.2">
      <c r="A5" s="4" t="s">
        <v>28</v>
      </c>
      <c r="B5" s="4" t="s">
        <v>29</v>
      </c>
      <c r="C5" s="4" t="s">
        <v>19</v>
      </c>
      <c r="D5" s="4" t="s">
        <v>20</v>
      </c>
      <c r="E5" s="30">
        <v>350</v>
      </c>
      <c r="F5" s="4" t="s">
        <v>20</v>
      </c>
      <c r="G5" s="4" t="s">
        <v>20</v>
      </c>
      <c r="H5" s="39">
        <v>50</v>
      </c>
      <c r="I5" s="35">
        <v>350</v>
      </c>
      <c r="J5" s="35">
        <v>7</v>
      </c>
      <c r="K5" s="35"/>
      <c r="L5" s="4" t="s">
        <v>25</v>
      </c>
      <c r="M5" s="4" t="s">
        <v>22</v>
      </c>
      <c r="N5" s="4" t="s">
        <v>24</v>
      </c>
      <c r="O5" s="4" t="s">
        <v>23</v>
      </c>
      <c r="P5" s="5">
        <v>41388</v>
      </c>
      <c r="Q5" s="4" t="s">
        <v>20</v>
      </c>
    </row>
    <row r="6" spans="1:17" ht="12" customHeight="1" x14ac:dyDescent="0.2">
      <c r="A6" s="4" t="s">
        <v>30</v>
      </c>
      <c r="B6" s="4" t="s">
        <v>18</v>
      </c>
      <c r="C6" s="4" t="s">
        <v>19</v>
      </c>
      <c r="D6" s="4" t="s">
        <v>20</v>
      </c>
      <c r="E6" s="30">
        <v>350</v>
      </c>
      <c r="F6" s="4" t="s">
        <v>20</v>
      </c>
      <c r="G6" s="4" t="s">
        <v>20</v>
      </c>
      <c r="H6" s="39">
        <v>50</v>
      </c>
      <c r="I6" s="35">
        <v>350</v>
      </c>
      <c r="J6" s="35">
        <v>7</v>
      </c>
      <c r="K6" s="35"/>
      <c r="L6" s="4" t="s">
        <v>25</v>
      </c>
      <c r="M6" s="4" t="s">
        <v>22</v>
      </c>
      <c r="N6" s="4" t="s">
        <v>24</v>
      </c>
      <c r="O6" s="4" t="s">
        <v>23</v>
      </c>
      <c r="P6" s="5">
        <v>41388</v>
      </c>
      <c r="Q6" s="4" t="s">
        <v>20</v>
      </c>
    </row>
    <row r="7" spans="1:17" ht="12" customHeight="1" x14ac:dyDescent="0.2">
      <c r="A7" s="4" t="s">
        <v>31</v>
      </c>
      <c r="B7" s="4" t="s">
        <v>27</v>
      </c>
      <c r="C7" s="4" t="s">
        <v>19</v>
      </c>
      <c r="D7" s="4" t="s">
        <v>20</v>
      </c>
      <c r="E7" s="30">
        <v>350</v>
      </c>
      <c r="F7" s="4" t="s">
        <v>20</v>
      </c>
      <c r="G7" s="4" t="s">
        <v>20</v>
      </c>
      <c r="H7" s="39">
        <v>50</v>
      </c>
      <c r="I7" s="35">
        <v>350</v>
      </c>
      <c r="J7" s="35">
        <v>7</v>
      </c>
      <c r="K7" s="35"/>
      <c r="L7" s="4" t="s">
        <v>25</v>
      </c>
      <c r="M7" s="4" t="s">
        <v>22</v>
      </c>
      <c r="N7" s="4" t="s">
        <v>24</v>
      </c>
      <c r="O7" s="4" t="s">
        <v>23</v>
      </c>
      <c r="P7" s="5">
        <v>41388</v>
      </c>
      <c r="Q7" s="4" t="s">
        <v>20</v>
      </c>
    </row>
    <row r="8" spans="1:17" ht="12" customHeight="1" x14ac:dyDescent="0.2">
      <c r="A8" s="4" t="s">
        <v>32</v>
      </c>
      <c r="B8" s="4" t="s">
        <v>33</v>
      </c>
      <c r="C8" s="4" t="s">
        <v>19</v>
      </c>
      <c r="D8" s="4" t="s">
        <v>210</v>
      </c>
      <c r="E8" s="30">
        <v>2500</v>
      </c>
      <c r="F8" s="4" t="s">
        <v>20</v>
      </c>
      <c r="G8" s="4" t="s">
        <v>20</v>
      </c>
      <c r="H8" s="39">
        <v>60</v>
      </c>
      <c r="I8" s="35">
        <v>2500</v>
      </c>
      <c r="J8" s="35">
        <v>42</v>
      </c>
      <c r="K8" s="35"/>
      <c r="L8" s="4" t="s">
        <v>25</v>
      </c>
      <c r="M8" s="4" t="s">
        <v>34</v>
      </c>
      <c r="N8" s="4" t="s">
        <v>36</v>
      </c>
      <c r="O8" s="4" t="s">
        <v>35</v>
      </c>
      <c r="P8" s="5">
        <v>41389</v>
      </c>
      <c r="Q8" s="4" t="s">
        <v>37</v>
      </c>
    </row>
    <row r="9" spans="1:17" ht="12" customHeight="1" x14ac:dyDescent="0.2">
      <c r="A9" s="4" t="s">
        <v>38</v>
      </c>
      <c r="B9" s="4" t="s">
        <v>18</v>
      </c>
      <c r="C9" s="4" t="s">
        <v>19</v>
      </c>
      <c r="D9" s="4" t="s">
        <v>39</v>
      </c>
      <c r="E9" s="30">
        <v>1150</v>
      </c>
      <c r="F9" s="4" t="s">
        <v>20</v>
      </c>
      <c r="G9" s="4" t="s">
        <v>20</v>
      </c>
      <c r="H9" s="39">
        <v>57.5</v>
      </c>
      <c r="I9" s="35">
        <v>1150</v>
      </c>
      <c r="J9" s="35">
        <v>20</v>
      </c>
      <c r="K9" s="35"/>
      <c r="L9" s="4" t="s">
        <v>25</v>
      </c>
      <c r="M9" s="4" t="s">
        <v>34</v>
      </c>
      <c r="N9" s="4" t="s">
        <v>36</v>
      </c>
      <c r="O9" s="4" t="s">
        <v>23</v>
      </c>
      <c r="P9" s="5">
        <v>41389</v>
      </c>
      <c r="Q9" s="4" t="s">
        <v>20</v>
      </c>
    </row>
    <row r="10" spans="1:17" ht="12" customHeight="1" x14ac:dyDescent="0.2">
      <c r="A10" s="4" t="s">
        <v>40</v>
      </c>
      <c r="B10" s="4" t="s">
        <v>27</v>
      </c>
      <c r="C10" s="4" t="s">
        <v>19</v>
      </c>
      <c r="D10" s="4" t="s">
        <v>211</v>
      </c>
      <c r="E10" s="30">
        <v>1900</v>
      </c>
      <c r="F10" s="4" t="s">
        <v>20</v>
      </c>
      <c r="G10" s="4" t="s">
        <v>20</v>
      </c>
      <c r="H10" s="39">
        <v>56</v>
      </c>
      <c r="I10" s="35">
        <v>1900</v>
      </c>
      <c r="J10" s="35">
        <v>34</v>
      </c>
      <c r="K10" s="35"/>
      <c r="L10" s="4" t="s">
        <v>25</v>
      </c>
      <c r="M10" s="4" t="s">
        <v>34</v>
      </c>
      <c r="N10" s="4" t="s">
        <v>36</v>
      </c>
      <c r="O10" s="4" t="s">
        <v>23</v>
      </c>
      <c r="P10" s="5">
        <v>41389</v>
      </c>
      <c r="Q10" s="4" t="s">
        <v>20</v>
      </c>
    </row>
    <row r="11" spans="1:17" ht="12" customHeight="1" x14ac:dyDescent="0.2">
      <c r="A11" s="4" t="s">
        <v>41</v>
      </c>
      <c r="B11" s="4" t="s">
        <v>42</v>
      </c>
      <c r="C11" s="4" t="s">
        <v>19</v>
      </c>
      <c r="D11" s="4" t="s">
        <v>43</v>
      </c>
      <c r="E11" s="30">
        <v>300</v>
      </c>
      <c r="F11" s="4" t="s">
        <v>20</v>
      </c>
      <c r="G11" s="4" t="s">
        <v>20</v>
      </c>
      <c r="H11" s="39">
        <v>60</v>
      </c>
      <c r="I11" s="35">
        <v>300</v>
      </c>
      <c r="J11" s="35">
        <v>5</v>
      </c>
      <c r="K11" s="35"/>
      <c r="L11" s="4" t="s">
        <v>25</v>
      </c>
      <c r="M11" s="4" t="s">
        <v>44</v>
      </c>
      <c r="N11" s="4" t="s">
        <v>46</v>
      </c>
      <c r="O11" s="4" t="s">
        <v>45</v>
      </c>
      <c r="P11" s="5">
        <v>41384</v>
      </c>
      <c r="Q11" s="4" t="s">
        <v>47</v>
      </c>
    </row>
    <row r="12" spans="1:17" ht="12" customHeight="1" x14ac:dyDescent="0.2">
      <c r="A12" s="4" t="s">
        <v>48</v>
      </c>
      <c r="B12" s="4" t="s">
        <v>49</v>
      </c>
      <c r="C12" s="4" t="s">
        <v>19</v>
      </c>
      <c r="D12" s="4" t="s">
        <v>212</v>
      </c>
      <c r="E12" s="30">
        <v>320</v>
      </c>
      <c r="F12" s="4" t="s">
        <v>20</v>
      </c>
      <c r="G12" s="4" t="s">
        <v>20</v>
      </c>
      <c r="H12" s="39">
        <v>53</v>
      </c>
      <c r="I12" s="35">
        <v>320</v>
      </c>
      <c r="J12" s="35">
        <v>6</v>
      </c>
      <c r="K12" s="35"/>
      <c r="L12" s="4" t="s">
        <v>25</v>
      </c>
      <c r="M12" s="4" t="s">
        <v>34</v>
      </c>
      <c r="N12" s="4" t="s">
        <v>36</v>
      </c>
      <c r="O12" s="4" t="s">
        <v>50</v>
      </c>
      <c r="P12" s="5">
        <v>41389</v>
      </c>
      <c r="Q12" s="4" t="s">
        <v>51</v>
      </c>
    </row>
    <row r="13" spans="1:17" ht="12" customHeight="1" x14ac:dyDescent="0.2">
      <c r="A13" s="4" t="s">
        <v>52</v>
      </c>
      <c r="B13" s="4" t="s">
        <v>49</v>
      </c>
      <c r="C13" s="4" t="s">
        <v>19</v>
      </c>
      <c r="D13" s="4" t="s">
        <v>212</v>
      </c>
      <c r="E13" s="30">
        <v>233</v>
      </c>
      <c r="F13" s="4" t="s">
        <v>20</v>
      </c>
      <c r="G13" s="4" t="s">
        <v>20</v>
      </c>
      <c r="H13" s="39">
        <v>38.799999999999997</v>
      </c>
      <c r="I13" s="35">
        <v>233</v>
      </c>
      <c r="J13" s="35">
        <v>6</v>
      </c>
      <c r="K13" s="35"/>
      <c r="L13" s="4" t="s">
        <v>25</v>
      </c>
      <c r="M13" s="4" t="s">
        <v>34</v>
      </c>
      <c r="N13" s="4" t="s">
        <v>36</v>
      </c>
      <c r="O13" s="4" t="s">
        <v>50</v>
      </c>
      <c r="P13" s="5">
        <v>41389</v>
      </c>
      <c r="Q13" s="4" t="s">
        <v>51</v>
      </c>
    </row>
    <row r="14" spans="1:17" ht="12" customHeight="1" x14ac:dyDescent="0.2">
      <c r="A14" s="4" t="s">
        <v>53</v>
      </c>
      <c r="B14" s="4" t="s">
        <v>49</v>
      </c>
      <c r="C14" s="4" t="s">
        <v>19</v>
      </c>
      <c r="D14" s="4" t="s">
        <v>212</v>
      </c>
      <c r="E14" s="30">
        <v>249</v>
      </c>
      <c r="F14" s="4" t="s">
        <v>20</v>
      </c>
      <c r="G14" s="4" t="s">
        <v>20</v>
      </c>
      <c r="H14" s="39">
        <v>41.3</v>
      </c>
      <c r="I14" s="35">
        <v>249</v>
      </c>
      <c r="J14" s="35">
        <v>6</v>
      </c>
      <c r="K14" s="35"/>
      <c r="L14" s="4" t="s">
        <v>25</v>
      </c>
      <c r="M14" s="4" t="s">
        <v>34</v>
      </c>
      <c r="N14" s="4" t="s">
        <v>36</v>
      </c>
      <c r="O14" s="4" t="s">
        <v>50</v>
      </c>
      <c r="P14" s="5">
        <v>41389</v>
      </c>
      <c r="Q14" s="4" t="s">
        <v>51</v>
      </c>
    </row>
    <row r="15" spans="1:17" ht="12" customHeight="1" x14ac:dyDescent="0.2">
      <c r="A15" s="4" t="s">
        <v>54</v>
      </c>
      <c r="B15" s="4" t="s">
        <v>49</v>
      </c>
      <c r="C15" s="4" t="s">
        <v>19</v>
      </c>
      <c r="D15" s="4" t="s">
        <v>212</v>
      </c>
      <c r="E15" s="30">
        <v>272</v>
      </c>
      <c r="F15" s="4" t="s">
        <v>20</v>
      </c>
      <c r="G15" s="4" t="s">
        <v>20</v>
      </c>
      <c r="H15" s="39">
        <v>45.3</v>
      </c>
      <c r="I15" s="35">
        <v>272</v>
      </c>
      <c r="J15" s="35">
        <v>6</v>
      </c>
      <c r="K15" s="35"/>
      <c r="L15" s="4" t="s">
        <v>25</v>
      </c>
      <c r="M15" s="4" t="s">
        <v>34</v>
      </c>
      <c r="N15" s="4" t="s">
        <v>36</v>
      </c>
      <c r="O15" s="4" t="s">
        <v>50</v>
      </c>
      <c r="P15" s="5">
        <v>41389</v>
      </c>
      <c r="Q15" s="4" t="s">
        <v>51</v>
      </c>
    </row>
    <row r="16" spans="1:17" ht="12" customHeight="1" x14ac:dyDescent="0.2">
      <c r="A16" s="4" t="s">
        <v>55</v>
      </c>
      <c r="B16" s="4" t="s">
        <v>49</v>
      </c>
      <c r="C16" s="4" t="s">
        <v>19</v>
      </c>
      <c r="D16" s="4" t="s">
        <v>212</v>
      </c>
      <c r="E16" s="30">
        <v>118</v>
      </c>
      <c r="F16" s="4" t="s">
        <v>20</v>
      </c>
      <c r="G16" s="4" t="s">
        <v>20</v>
      </c>
      <c r="H16" s="39">
        <v>58.9</v>
      </c>
      <c r="I16" s="35">
        <v>118</v>
      </c>
      <c r="J16" s="35">
        <v>2</v>
      </c>
      <c r="K16" s="35"/>
      <c r="L16" s="4" t="s">
        <v>25</v>
      </c>
      <c r="M16" s="4" t="s">
        <v>34</v>
      </c>
      <c r="N16" s="4" t="s">
        <v>36</v>
      </c>
      <c r="O16" s="4" t="s">
        <v>50</v>
      </c>
      <c r="P16" s="5">
        <v>41389</v>
      </c>
      <c r="Q16" s="4" t="s">
        <v>51</v>
      </c>
    </row>
    <row r="17" spans="1:17" ht="12" customHeight="1" x14ac:dyDescent="0.2">
      <c r="A17" s="4" t="s">
        <v>56</v>
      </c>
      <c r="B17" s="4" t="s">
        <v>57</v>
      </c>
      <c r="C17" s="4" t="s">
        <v>19</v>
      </c>
      <c r="D17" s="4" t="s">
        <v>213</v>
      </c>
      <c r="E17" s="30">
        <v>323</v>
      </c>
      <c r="F17" s="4" t="s">
        <v>20</v>
      </c>
      <c r="G17" s="4" t="s">
        <v>20</v>
      </c>
      <c r="H17" s="39">
        <v>65</v>
      </c>
      <c r="I17" s="35">
        <v>323</v>
      </c>
      <c r="J17" s="35">
        <v>5</v>
      </c>
      <c r="K17" s="35"/>
      <c r="L17" s="4" t="s">
        <v>25</v>
      </c>
      <c r="M17" s="4" t="s">
        <v>34</v>
      </c>
      <c r="N17" s="4" t="s">
        <v>36</v>
      </c>
      <c r="O17" s="4" t="s">
        <v>50</v>
      </c>
      <c r="P17" s="5">
        <v>41389</v>
      </c>
      <c r="Q17" s="4" t="s">
        <v>58</v>
      </c>
    </row>
    <row r="18" spans="1:17" ht="12" customHeight="1" x14ac:dyDescent="0.2">
      <c r="A18" s="4" t="s">
        <v>59</v>
      </c>
      <c r="B18" s="4" t="s">
        <v>57</v>
      </c>
      <c r="C18" s="4" t="s">
        <v>19</v>
      </c>
      <c r="D18" s="4" t="s">
        <v>213</v>
      </c>
      <c r="E18" s="30">
        <v>314</v>
      </c>
      <c r="F18" s="4" t="s">
        <v>20</v>
      </c>
      <c r="G18" s="4" t="s">
        <v>20</v>
      </c>
      <c r="H18" s="39">
        <v>39.4</v>
      </c>
      <c r="I18" s="35">
        <v>314</v>
      </c>
      <c r="J18" s="35">
        <v>8</v>
      </c>
      <c r="K18" s="35"/>
      <c r="L18" s="4" t="s">
        <v>25</v>
      </c>
      <c r="M18" s="4" t="s">
        <v>34</v>
      </c>
      <c r="N18" s="4" t="s">
        <v>36</v>
      </c>
      <c r="O18" s="4" t="s">
        <v>50</v>
      </c>
      <c r="P18" s="5">
        <v>41389</v>
      </c>
      <c r="Q18" s="4" t="s">
        <v>58</v>
      </c>
    </row>
    <row r="19" spans="1:17" ht="12" customHeight="1" x14ac:dyDescent="0.2">
      <c r="A19" s="4" t="s">
        <v>60</v>
      </c>
      <c r="B19" s="4" t="s">
        <v>57</v>
      </c>
      <c r="C19" s="4" t="s">
        <v>19</v>
      </c>
      <c r="D19" s="4" t="s">
        <v>213</v>
      </c>
      <c r="E19" s="30">
        <v>336</v>
      </c>
      <c r="F19" s="4" t="s">
        <v>20</v>
      </c>
      <c r="G19" s="4" t="s">
        <v>20</v>
      </c>
      <c r="H19" s="39">
        <v>42</v>
      </c>
      <c r="I19" s="35">
        <v>336</v>
      </c>
      <c r="J19" s="35">
        <v>8</v>
      </c>
      <c r="K19" s="35"/>
      <c r="L19" s="4" t="s">
        <v>25</v>
      </c>
      <c r="M19" s="4" t="s">
        <v>34</v>
      </c>
      <c r="N19" s="4" t="s">
        <v>36</v>
      </c>
      <c r="O19" s="4" t="s">
        <v>50</v>
      </c>
      <c r="P19" s="5">
        <v>41389</v>
      </c>
      <c r="Q19" s="4" t="s">
        <v>58</v>
      </c>
    </row>
    <row r="20" spans="1:17" ht="12" customHeight="1" x14ac:dyDescent="0.2">
      <c r="A20" s="4" t="s">
        <v>61</v>
      </c>
      <c r="B20" s="4" t="s">
        <v>57</v>
      </c>
      <c r="C20" s="4" t="s">
        <v>19</v>
      </c>
      <c r="D20" s="4" t="s">
        <v>213</v>
      </c>
      <c r="E20" s="30">
        <v>285</v>
      </c>
      <c r="F20" s="4" t="s">
        <v>20</v>
      </c>
      <c r="G20" s="4" t="s">
        <v>20</v>
      </c>
      <c r="H20" s="39">
        <v>47.6</v>
      </c>
      <c r="I20" s="35">
        <v>285</v>
      </c>
      <c r="J20" s="35">
        <v>6</v>
      </c>
      <c r="K20" s="35"/>
      <c r="L20" s="4" t="s">
        <v>25</v>
      </c>
      <c r="M20" s="4" t="s">
        <v>34</v>
      </c>
      <c r="N20" s="4" t="s">
        <v>36</v>
      </c>
      <c r="O20" s="4" t="s">
        <v>50</v>
      </c>
      <c r="P20" s="5">
        <v>41389</v>
      </c>
      <c r="Q20" s="4" t="s">
        <v>58</v>
      </c>
    </row>
    <row r="21" spans="1:17" ht="12" customHeight="1" x14ac:dyDescent="0.2">
      <c r="A21" s="4" t="s">
        <v>62</v>
      </c>
      <c r="B21" s="4" t="s">
        <v>57</v>
      </c>
      <c r="C21" s="4" t="s">
        <v>19</v>
      </c>
      <c r="D21" s="4" t="s">
        <v>213</v>
      </c>
      <c r="E21" s="30">
        <v>358</v>
      </c>
      <c r="F21" s="4" t="s">
        <v>20</v>
      </c>
      <c r="G21" s="4" t="s">
        <v>20</v>
      </c>
      <c r="H21" s="39">
        <v>60</v>
      </c>
      <c r="I21" s="35">
        <v>358</v>
      </c>
      <c r="J21" s="35">
        <v>6</v>
      </c>
      <c r="K21" s="35"/>
      <c r="L21" s="4" t="s">
        <v>25</v>
      </c>
      <c r="M21" s="4" t="s">
        <v>34</v>
      </c>
      <c r="N21" s="4" t="s">
        <v>36</v>
      </c>
      <c r="O21" s="4" t="s">
        <v>50</v>
      </c>
      <c r="P21" s="5">
        <v>41389</v>
      </c>
      <c r="Q21" s="4" t="s">
        <v>58</v>
      </c>
    </row>
    <row r="22" spans="1:17" ht="12" customHeight="1" x14ac:dyDescent="0.2">
      <c r="A22" s="6" t="s">
        <v>63</v>
      </c>
      <c r="B22" s="6" t="s">
        <v>64</v>
      </c>
      <c r="C22" s="6" t="s">
        <v>65</v>
      </c>
      <c r="D22" s="6" t="s">
        <v>214</v>
      </c>
      <c r="E22" s="31">
        <v>1000</v>
      </c>
      <c r="F22" s="6" t="s">
        <v>20</v>
      </c>
      <c r="G22" s="6" t="s">
        <v>20</v>
      </c>
      <c r="H22" s="40">
        <v>66.7</v>
      </c>
      <c r="I22" s="36">
        <v>1000</v>
      </c>
      <c r="J22" s="36">
        <v>15</v>
      </c>
      <c r="K22" s="36"/>
      <c r="L22" s="7" t="s">
        <v>25</v>
      </c>
      <c r="M22" s="6" t="s">
        <v>67</v>
      </c>
      <c r="N22" s="6" t="s">
        <v>46</v>
      </c>
      <c r="O22" s="6" t="s">
        <v>68</v>
      </c>
      <c r="P22" s="8">
        <v>11443</v>
      </c>
      <c r="Q22" s="6" t="s">
        <v>20</v>
      </c>
    </row>
    <row r="23" spans="1:17" ht="12" customHeight="1" x14ac:dyDescent="0.2">
      <c r="A23" s="6" t="s">
        <v>69</v>
      </c>
      <c r="B23" s="6" t="s">
        <v>70</v>
      </c>
      <c r="C23" s="6" t="s">
        <v>65</v>
      </c>
      <c r="D23" s="6" t="s">
        <v>215</v>
      </c>
      <c r="E23" s="31">
        <v>240</v>
      </c>
      <c r="F23" s="6" t="s">
        <v>20</v>
      </c>
      <c r="G23" s="6" t="s">
        <v>20</v>
      </c>
      <c r="H23" s="40">
        <v>20</v>
      </c>
      <c r="I23" s="36">
        <v>240</v>
      </c>
      <c r="J23" s="36"/>
      <c r="K23" s="36">
        <v>12</v>
      </c>
      <c r="L23" s="6" t="s">
        <v>74</v>
      </c>
      <c r="M23" s="6" t="s">
        <v>34</v>
      </c>
      <c r="N23" s="6" t="s">
        <v>73</v>
      </c>
      <c r="O23" s="6" t="s">
        <v>72</v>
      </c>
      <c r="P23" s="8">
        <v>41389</v>
      </c>
      <c r="Q23" s="6" t="s">
        <v>75</v>
      </c>
    </row>
    <row r="24" spans="1:17" ht="12" customHeight="1" x14ac:dyDescent="0.2">
      <c r="A24" s="6" t="s">
        <v>76</v>
      </c>
      <c r="B24" s="6" t="s">
        <v>77</v>
      </c>
      <c r="C24" s="6" t="s">
        <v>65</v>
      </c>
      <c r="D24" s="6" t="s">
        <v>216</v>
      </c>
      <c r="E24" s="31">
        <v>60</v>
      </c>
      <c r="F24" s="6" t="s">
        <v>20</v>
      </c>
      <c r="G24" s="6" t="s">
        <v>20</v>
      </c>
      <c r="H24" s="40">
        <v>20</v>
      </c>
      <c r="I24" s="36">
        <v>60</v>
      </c>
      <c r="J24" s="36"/>
      <c r="K24" s="36">
        <v>3</v>
      </c>
      <c r="L24" s="6" t="s">
        <v>74</v>
      </c>
      <c r="M24" s="6" t="s">
        <v>34</v>
      </c>
      <c r="N24" s="6" t="s">
        <v>73</v>
      </c>
      <c r="O24" s="6" t="s">
        <v>72</v>
      </c>
      <c r="P24" s="8">
        <v>41389</v>
      </c>
      <c r="Q24" s="6" t="s">
        <v>79</v>
      </c>
    </row>
    <row r="25" spans="1:17" ht="12" customHeight="1" x14ac:dyDescent="0.2">
      <c r="A25" s="6" t="s">
        <v>80</v>
      </c>
      <c r="B25" s="6" t="s">
        <v>77</v>
      </c>
      <c r="C25" s="6" t="s">
        <v>81</v>
      </c>
      <c r="D25" s="6" t="s">
        <v>82</v>
      </c>
      <c r="E25" s="31">
        <v>60</v>
      </c>
      <c r="F25" s="6" t="s">
        <v>20</v>
      </c>
      <c r="G25" s="6" t="s">
        <v>20</v>
      </c>
      <c r="H25" s="40">
        <v>20</v>
      </c>
      <c r="I25" s="36">
        <v>60</v>
      </c>
      <c r="J25" s="36"/>
      <c r="K25" s="36">
        <v>3</v>
      </c>
      <c r="L25" s="6" t="s">
        <v>74</v>
      </c>
      <c r="M25" s="6" t="s">
        <v>34</v>
      </c>
      <c r="N25" s="6" t="s">
        <v>73</v>
      </c>
      <c r="O25" s="6" t="s">
        <v>72</v>
      </c>
      <c r="P25" s="8">
        <v>41389</v>
      </c>
      <c r="Q25" s="6" t="s">
        <v>79</v>
      </c>
    </row>
    <row r="26" spans="1:17" ht="12" customHeight="1" x14ac:dyDescent="0.2">
      <c r="A26" s="6" t="s">
        <v>83</v>
      </c>
      <c r="B26" s="6" t="s">
        <v>84</v>
      </c>
      <c r="C26" s="6" t="s">
        <v>81</v>
      </c>
      <c r="D26" s="6" t="s">
        <v>85</v>
      </c>
      <c r="E26" s="31">
        <v>180</v>
      </c>
      <c r="F26" s="6" t="s">
        <v>20</v>
      </c>
      <c r="G26" s="6" t="s">
        <v>20</v>
      </c>
      <c r="H26" s="40">
        <v>60</v>
      </c>
      <c r="I26" s="36">
        <v>180</v>
      </c>
      <c r="J26" s="36">
        <v>3</v>
      </c>
      <c r="K26" s="36"/>
      <c r="L26" s="7" t="s">
        <v>25</v>
      </c>
      <c r="M26" s="6" t="s">
        <v>67</v>
      </c>
      <c r="N26" s="6" t="s">
        <v>87</v>
      </c>
      <c r="O26" s="6" t="s">
        <v>86</v>
      </c>
      <c r="P26" s="8">
        <v>41384</v>
      </c>
      <c r="Q26" s="6" t="s">
        <v>20</v>
      </c>
    </row>
    <row r="27" spans="1:17" ht="12" customHeight="1" x14ac:dyDescent="0.2">
      <c r="A27" s="6" t="s">
        <v>88</v>
      </c>
      <c r="B27" s="6" t="s">
        <v>84</v>
      </c>
      <c r="C27" s="6" t="s">
        <v>81</v>
      </c>
      <c r="D27" s="6" t="s">
        <v>89</v>
      </c>
      <c r="E27" s="31">
        <v>60</v>
      </c>
      <c r="F27" s="6" t="s">
        <v>20</v>
      </c>
      <c r="G27" s="6" t="s">
        <v>20</v>
      </c>
      <c r="H27" s="40">
        <v>19.8</v>
      </c>
      <c r="I27" s="36">
        <v>60</v>
      </c>
      <c r="J27" s="36"/>
      <c r="K27" s="36">
        <v>3</v>
      </c>
      <c r="L27" s="6" t="s">
        <v>74</v>
      </c>
      <c r="M27" s="6" t="s">
        <v>209</v>
      </c>
      <c r="N27" s="6" t="s">
        <v>87</v>
      </c>
      <c r="O27" s="6" t="s">
        <v>86</v>
      </c>
      <c r="P27" s="8">
        <v>41384</v>
      </c>
      <c r="Q27" s="6" t="s">
        <v>20</v>
      </c>
    </row>
    <row r="28" spans="1:17" ht="12" customHeight="1" x14ac:dyDescent="0.2">
      <c r="A28" s="6" t="s">
        <v>90</v>
      </c>
      <c r="B28" s="6" t="s">
        <v>84</v>
      </c>
      <c r="C28" s="6" t="s">
        <v>81</v>
      </c>
      <c r="D28" s="6" t="s">
        <v>217</v>
      </c>
      <c r="E28" s="31">
        <v>200</v>
      </c>
      <c r="F28" s="6" t="s">
        <v>20</v>
      </c>
      <c r="G28" s="6" t="s">
        <v>20</v>
      </c>
      <c r="H28" s="40">
        <v>66.7</v>
      </c>
      <c r="I28" s="36">
        <v>200</v>
      </c>
      <c r="J28" s="36">
        <v>3</v>
      </c>
      <c r="K28" s="36"/>
      <c r="L28" s="7" t="s">
        <v>25</v>
      </c>
      <c r="M28" s="6" t="s">
        <v>67</v>
      </c>
      <c r="N28" s="6" t="s">
        <v>87</v>
      </c>
      <c r="O28" s="6" t="s">
        <v>86</v>
      </c>
      <c r="P28" s="8">
        <v>41384</v>
      </c>
      <c r="Q28" s="6" t="s">
        <v>92</v>
      </c>
    </row>
    <row r="29" spans="1:17" ht="12" customHeight="1" x14ac:dyDescent="0.2">
      <c r="A29" s="6" t="s">
        <v>93</v>
      </c>
      <c r="B29" s="6" t="s">
        <v>84</v>
      </c>
      <c r="C29" s="6" t="s">
        <v>81</v>
      </c>
      <c r="D29" s="6" t="s">
        <v>89</v>
      </c>
      <c r="E29" s="31">
        <v>80</v>
      </c>
      <c r="F29" s="6" t="s">
        <v>20</v>
      </c>
      <c r="G29" s="6" t="s">
        <v>20</v>
      </c>
      <c r="H29" s="40">
        <v>19.8</v>
      </c>
      <c r="I29" s="36">
        <v>80</v>
      </c>
      <c r="J29" s="36"/>
      <c r="K29" s="36">
        <v>4</v>
      </c>
      <c r="L29" s="6" t="s">
        <v>95</v>
      </c>
      <c r="M29" s="6" t="s">
        <v>94</v>
      </c>
      <c r="N29" s="6" t="s">
        <v>87</v>
      </c>
      <c r="O29" s="6" t="s">
        <v>86</v>
      </c>
      <c r="P29" s="8">
        <v>41384</v>
      </c>
      <c r="Q29" s="6" t="s">
        <v>20</v>
      </c>
    </row>
    <row r="30" spans="1:17" ht="12" customHeight="1" x14ac:dyDescent="0.2">
      <c r="A30" s="6" t="s">
        <v>96</v>
      </c>
      <c r="B30" s="6" t="s">
        <v>84</v>
      </c>
      <c r="C30" s="6" t="s">
        <v>81</v>
      </c>
      <c r="D30" s="6" t="s">
        <v>97</v>
      </c>
      <c r="E30" s="31">
        <v>200</v>
      </c>
      <c r="F30" s="6" t="s">
        <v>20</v>
      </c>
      <c r="G30" s="6" t="s">
        <v>20</v>
      </c>
      <c r="H30" s="40">
        <v>20.8</v>
      </c>
      <c r="I30" s="36">
        <v>200</v>
      </c>
      <c r="J30" s="36"/>
      <c r="K30" s="36">
        <v>10</v>
      </c>
      <c r="L30" s="6" t="s">
        <v>95</v>
      </c>
      <c r="M30" s="6" t="s">
        <v>94</v>
      </c>
      <c r="N30" s="6" t="s">
        <v>87</v>
      </c>
      <c r="O30" s="6" t="s">
        <v>86</v>
      </c>
      <c r="P30" s="8">
        <v>41384</v>
      </c>
      <c r="Q30" s="6" t="s">
        <v>20</v>
      </c>
    </row>
    <row r="31" spans="1:17" ht="12" customHeight="1" x14ac:dyDescent="0.2">
      <c r="A31" s="6" t="s">
        <v>98</v>
      </c>
      <c r="B31" s="6" t="s">
        <v>84</v>
      </c>
      <c r="C31" s="6" t="s">
        <v>81</v>
      </c>
      <c r="D31" s="6" t="s">
        <v>99</v>
      </c>
      <c r="E31" s="31">
        <v>160</v>
      </c>
      <c r="F31" s="6" t="s">
        <v>20</v>
      </c>
      <c r="G31" s="6" t="s">
        <v>20</v>
      </c>
      <c r="H31" s="40">
        <v>19.8</v>
      </c>
      <c r="I31" s="36">
        <v>160</v>
      </c>
      <c r="J31" s="36"/>
      <c r="K31" s="36">
        <v>8</v>
      </c>
      <c r="L31" s="9" t="s">
        <v>74</v>
      </c>
      <c r="M31" s="6" t="s">
        <v>209</v>
      </c>
      <c r="N31" s="6" t="s">
        <v>87</v>
      </c>
      <c r="O31" s="6" t="s">
        <v>86</v>
      </c>
      <c r="P31" s="8">
        <v>41384</v>
      </c>
      <c r="Q31" s="6" t="s">
        <v>92</v>
      </c>
    </row>
    <row r="32" spans="1:17" ht="12" customHeight="1" x14ac:dyDescent="0.2">
      <c r="A32" s="6" t="s">
        <v>100</v>
      </c>
      <c r="B32" s="6" t="s">
        <v>84</v>
      </c>
      <c r="C32" s="6" t="s">
        <v>81</v>
      </c>
      <c r="D32" s="6" t="s">
        <v>101</v>
      </c>
      <c r="E32" s="31">
        <v>60</v>
      </c>
      <c r="F32" s="6" t="s">
        <v>20</v>
      </c>
      <c r="G32" s="6" t="s">
        <v>20</v>
      </c>
      <c r="H32" s="40">
        <v>20.100000000000001</v>
      </c>
      <c r="I32" s="36">
        <v>60</v>
      </c>
      <c r="J32" s="36"/>
      <c r="K32" s="36">
        <v>3</v>
      </c>
      <c r="L32" s="6" t="s">
        <v>95</v>
      </c>
      <c r="M32" s="6" t="s">
        <v>94</v>
      </c>
      <c r="N32" s="6" t="s">
        <v>87</v>
      </c>
      <c r="O32" s="6" t="s">
        <v>86</v>
      </c>
      <c r="P32" s="8">
        <v>41384</v>
      </c>
      <c r="Q32" s="6" t="s">
        <v>92</v>
      </c>
    </row>
    <row r="33" spans="1:17" ht="12" customHeight="1" x14ac:dyDescent="0.2">
      <c r="A33" s="6" t="s">
        <v>102</v>
      </c>
      <c r="B33" s="6" t="s">
        <v>84</v>
      </c>
      <c r="C33" s="6" t="s">
        <v>81</v>
      </c>
      <c r="D33" s="6" t="s">
        <v>218</v>
      </c>
      <c r="E33" s="31">
        <v>80</v>
      </c>
      <c r="F33" s="6" t="s">
        <v>20</v>
      </c>
      <c r="G33" s="6" t="s">
        <v>20</v>
      </c>
      <c r="H33" s="40">
        <v>20</v>
      </c>
      <c r="I33" s="36">
        <v>80</v>
      </c>
      <c r="J33" s="36"/>
      <c r="K33" s="36">
        <v>4</v>
      </c>
      <c r="L33" s="6" t="s">
        <v>95</v>
      </c>
      <c r="M33" s="6" t="s">
        <v>104</v>
      </c>
      <c r="N33" s="6" t="s">
        <v>106</v>
      </c>
      <c r="O33" s="6" t="s">
        <v>105</v>
      </c>
      <c r="P33" s="8">
        <v>41394</v>
      </c>
      <c r="Q33" s="6" t="s">
        <v>107</v>
      </c>
    </row>
    <row r="34" spans="1:17" ht="12" customHeight="1" x14ac:dyDescent="0.2">
      <c r="A34" s="6" t="s">
        <v>108</v>
      </c>
      <c r="B34" s="6" t="s">
        <v>84</v>
      </c>
      <c r="C34" s="6" t="s">
        <v>81</v>
      </c>
      <c r="D34" s="6" t="s">
        <v>218</v>
      </c>
      <c r="E34" s="31">
        <v>80</v>
      </c>
      <c r="F34" s="6" t="s">
        <v>20</v>
      </c>
      <c r="G34" s="6" t="s">
        <v>20</v>
      </c>
      <c r="H34" s="40">
        <v>20</v>
      </c>
      <c r="I34" s="36">
        <v>80</v>
      </c>
      <c r="J34" s="36"/>
      <c r="K34" s="36">
        <v>4</v>
      </c>
      <c r="L34" s="6" t="s">
        <v>95</v>
      </c>
      <c r="M34" s="6" t="s">
        <v>104</v>
      </c>
      <c r="N34" s="6" t="s">
        <v>109</v>
      </c>
      <c r="O34" s="6" t="s">
        <v>105</v>
      </c>
      <c r="P34" s="8">
        <v>41394</v>
      </c>
      <c r="Q34" s="6" t="s">
        <v>107</v>
      </c>
    </row>
    <row r="35" spans="1:17" ht="12" customHeight="1" x14ac:dyDescent="0.2">
      <c r="A35" s="6" t="s">
        <v>110</v>
      </c>
      <c r="B35" s="6" t="s">
        <v>84</v>
      </c>
      <c r="C35" s="6" t="s">
        <v>81</v>
      </c>
      <c r="D35" s="6" t="s">
        <v>218</v>
      </c>
      <c r="E35" s="31">
        <v>60</v>
      </c>
      <c r="F35" s="6" t="s">
        <v>20</v>
      </c>
      <c r="G35" s="6" t="s">
        <v>20</v>
      </c>
      <c r="H35" s="40">
        <v>20</v>
      </c>
      <c r="I35" s="36">
        <v>60</v>
      </c>
      <c r="J35" s="36"/>
      <c r="K35" s="36">
        <v>3</v>
      </c>
      <c r="L35" s="6" t="s">
        <v>95</v>
      </c>
      <c r="M35" s="6" t="s">
        <v>104</v>
      </c>
      <c r="N35" s="6" t="s">
        <v>111</v>
      </c>
      <c r="O35" s="6" t="s">
        <v>105</v>
      </c>
      <c r="P35" s="8">
        <v>41394</v>
      </c>
      <c r="Q35" s="6" t="s">
        <v>107</v>
      </c>
    </row>
    <row r="36" spans="1:17" ht="12" customHeight="1" x14ac:dyDescent="0.2">
      <c r="A36" s="6" t="s">
        <v>112</v>
      </c>
      <c r="B36" s="6" t="s">
        <v>64</v>
      </c>
      <c r="C36" s="6" t="s">
        <v>65</v>
      </c>
      <c r="D36" s="6" t="s">
        <v>214</v>
      </c>
      <c r="E36" s="31">
        <v>780</v>
      </c>
      <c r="F36" s="6" t="s">
        <v>20</v>
      </c>
      <c r="G36" s="6" t="s">
        <v>20</v>
      </c>
      <c r="H36" s="40">
        <v>65</v>
      </c>
      <c r="I36" s="36">
        <v>780</v>
      </c>
      <c r="J36" s="36">
        <v>12</v>
      </c>
      <c r="K36" s="36"/>
      <c r="L36" s="7" t="s">
        <v>25</v>
      </c>
      <c r="M36" s="6" t="s">
        <v>67</v>
      </c>
      <c r="N36" s="6" t="s">
        <v>46</v>
      </c>
      <c r="O36" s="6" t="s">
        <v>68</v>
      </c>
      <c r="P36" s="8">
        <v>41394</v>
      </c>
      <c r="Q36" s="6" t="s">
        <v>20</v>
      </c>
    </row>
    <row r="37" spans="1:17" ht="12" customHeight="1" x14ac:dyDescent="0.2">
      <c r="A37" s="6" t="s">
        <v>113</v>
      </c>
      <c r="B37" s="6" t="s">
        <v>64</v>
      </c>
      <c r="C37" s="6" t="s">
        <v>65</v>
      </c>
      <c r="D37" s="6" t="s">
        <v>214</v>
      </c>
      <c r="E37" s="31">
        <v>1500</v>
      </c>
      <c r="F37" s="6" t="s">
        <v>20</v>
      </c>
      <c r="G37" s="6" t="s">
        <v>20</v>
      </c>
      <c r="H37" s="40">
        <v>20</v>
      </c>
      <c r="I37" s="36">
        <v>1500</v>
      </c>
      <c r="J37" s="36"/>
      <c r="K37" s="36">
        <v>75</v>
      </c>
      <c r="L37" s="6" t="s">
        <v>95</v>
      </c>
      <c r="M37" s="6" t="s">
        <v>94</v>
      </c>
      <c r="N37" s="6" t="s">
        <v>46</v>
      </c>
      <c r="O37" s="6" t="s">
        <v>68</v>
      </c>
      <c r="P37" s="8">
        <v>41394</v>
      </c>
      <c r="Q37" s="6" t="s">
        <v>114</v>
      </c>
    </row>
    <row r="38" spans="1:17" ht="12" customHeight="1" x14ac:dyDescent="0.2">
      <c r="A38" s="6" t="s">
        <v>115</v>
      </c>
      <c r="B38" s="6" t="s">
        <v>64</v>
      </c>
      <c r="C38" s="6" t="s">
        <v>65</v>
      </c>
      <c r="D38" s="6" t="s">
        <v>214</v>
      </c>
      <c r="E38" s="31">
        <v>80</v>
      </c>
      <c r="F38" s="6" t="s">
        <v>20</v>
      </c>
      <c r="G38" s="6" t="s">
        <v>20</v>
      </c>
      <c r="H38" s="40">
        <v>20</v>
      </c>
      <c r="I38" s="36">
        <v>80</v>
      </c>
      <c r="J38" s="36"/>
      <c r="K38" s="36">
        <v>4</v>
      </c>
      <c r="L38" s="6" t="s">
        <v>95</v>
      </c>
      <c r="M38" s="6" t="s">
        <v>94</v>
      </c>
      <c r="N38" s="6" t="s">
        <v>46</v>
      </c>
      <c r="O38" s="6" t="s">
        <v>68</v>
      </c>
      <c r="P38" s="8">
        <v>41366</v>
      </c>
      <c r="Q38" s="6" t="s">
        <v>114</v>
      </c>
    </row>
    <row r="39" spans="1:17" ht="12" customHeight="1" x14ac:dyDescent="0.2">
      <c r="A39" s="6" t="s">
        <v>116</v>
      </c>
      <c r="B39" s="6" t="s">
        <v>84</v>
      </c>
      <c r="C39" s="6" t="s">
        <v>81</v>
      </c>
      <c r="D39" s="6" t="s">
        <v>219</v>
      </c>
      <c r="E39" s="31">
        <v>400</v>
      </c>
      <c r="F39" s="6" t="s">
        <v>20</v>
      </c>
      <c r="G39" s="6" t="s">
        <v>20</v>
      </c>
      <c r="H39" s="40">
        <v>19.7</v>
      </c>
      <c r="I39" s="36">
        <v>400</v>
      </c>
      <c r="J39" s="36"/>
      <c r="K39" s="36">
        <v>20</v>
      </c>
      <c r="L39" s="6" t="s">
        <v>95</v>
      </c>
      <c r="M39" s="6" t="s">
        <v>94</v>
      </c>
      <c r="N39" s="6" t="s">
        <v>119</v>
      </c>
      <c r="O39" s="6" t="s">
        <v>118</v>
      </c>
      <c r="P39" s="8">
        <v>41369</v>
      </c>
      <c r="Q39" s="6" t="s">
        <v>120</v>
      </c>
    </row>
    <row r="40" spans="1:17" ht="12" customHeight="1" x14ac:dyDescent="0.2">
      <c r="A40" s="6" t="s">
        <v>121</v>
      </c>
      <c r="B40" s="6" t="s">
        <v>84</v>
      </c>
      <c r="C40" s="6" t="s">
        <v>81</v>
      </c>
      <c r="D40" s="6" t="s">
        <v>43</v>
      </c>
      <c r="E40" s="31">
        <v>300</v>
      </c>
      <c r="F40" s="6" t="s">
        <v>20</v>
      </c>
      <c r="G40" s="6" t="s">
        <v>20</v>
      </c>
      <c r="H40" s="40">
        <v>20</v>
      </c>
      <c r="I40" s="36">
        <v>300</v>
      </c>
      <c r="J40" s="36"/>
      <c r="K40" s="36">
        <v>15</v>
      </c>
      <c r="L40" s="6" t="s">
        <v>95</v>
      </c>
      <c r="M40" s="6" t="s">
        <v>94</v>
      </c>
      <c r="N40" s="6" t="s">
        <v>119</v>
      </c>
      <c r="O40" s="6" t="s">
        <v>118</v>
      </c>
      <c r="P40" s="8">
        <v>41369</v>
      </c>
      <c r="Q40" s="6" t="s">
        <v>120</v>
      </c>
    </row>
    <row r="41" spans="1:17" ht="12" customHeight="1" x14ac:dyDescent="0.2">
      <c r="A41" s="6" t="s">
        <v>122</v>
      </c>
      <c r="B41" s="6" t="s">
        <v>123</v>
      </c>
      <c r="C41" s="6" t="s">
        <v>65</v>
      </c>
      <c r="D41" s="6" t="s">
        <v>124</v>
      </c>
      <c r="E41" s="31">
        <v>800</v>
      </c>
      <c r="F41" s="6" t="s">
        <v>20</v>
      </c>
      <c r="G41" s="6" t="s">
        <v>20</v>
      </c>
      <c r="H41" s="40">
        <v>66.7</v>
      </c>
      <c r="I41" s="36">
        <v>800</v>
      </c>
      <c r="J41" s="36">
        <v>12</v>
      </c>
      <c r="K41" s="36"/>
      <c r="L41" s="7" t="s">
        <v>25</v>
      </c>
      <c r="M41" s="6" t="s">
        <v>34</v>
      </c>
      <c r="N41" s="6" t="s">
        <v>36</v>
      </c>
      <c r="O41" s="6" t="s">
        <v>125</v>
      </c>
      <c r="P41" s="8">
        <v>41394</v>
      </c>
      <c r="Q41" s="6" t="s">
        <v>20</v>
      </c>
    </row>
    <row r="42" spans="1:17" ht="12" customHeight="1" x14ac:dyDescent="0.2">
      <c r="A42" s="6" t="s">
        <v>126</v>
      </c>
      <c r="B42" s="6" t="s">
        <v>123</v>
      </c>
      <c r="C42" s="6" t="s">
        <v>65</v>
      </c>
      <c r="D42" s="6" t="s">
        <v>127</v>
      </c>
      <c r="E42" s="31">
        <v>50</v>
      </c>
      <c r="F42" s="6" t="s">
        <v>20</v>
      </c>
      <c r="G42" s="6" t="s">
        <v>20</v>
      </c>
      <c r="H42" s="40">
        <v>16.7</v>
      </c>
      <c r="I42" s="36">
        <v>50</v>
      </c>
      <c r="J42" s="36"/>
      <c r="K42" s="36">
        <v>3</v>
      </c>
      <c r="L42" s="6" t="s">
        <v>74</v>
      </c>
      <c r="M42" s="6" t="s">
        <v>34</v>
      </c>
      <c r="N42" s="6" t="s">
        <v>36</v>
      </c>
      <c r="O42" s="6" t="s">
        <v>125</v>
      </c>
      <c r="P42" s="8">
        <v>41394</v>
      </c>
      <c r="Q42" s="6" t="s">
        <v>20</v>
      </c>
    </row>
    <row r="43" spans="1:17" ht="12" customHeight="1" x14ac:dyDescent="0.2">
      <c r="A43" s="6" t="s">
        <v>128</v>
      </c>
      <c r="B43" s="6" t="s">
        <v>70</v>
      </c>
      <c r="C43" s="6" t="s">
        <v>65</v>
      </c>
      <c r="D43" s="6" t="s">
        <v>221</v>
      </c>
      <c r="E43" s="31">
        <v>130</v>
      </c>
      <c r="F43" s="6" t="s">
        <v>20</v>
      </c>
      <c r="G43" s="6" t="s">
        <v>20</v>
      </c>
      <c r="H43" s="40">
        <v>65</v>
      </c>
      <c r="I43" s="36">
        <v>130</v>
      </c>
      <c r="J43" s="36">
        <v>2</v>
      </c>
      <c r="K43" s="36"/>
      <c r="L43" s="6" t="s">
        <v>25</v>
      </c>
      <c r="M43" s="6" t="s">
        <v>22</v>
      </c>
      <c r="N43" s="6" t="s">
        <v>131</v>
      </c>
      <c r="O43" s="6" t="s">
        <v>130</v>
      </c>
      <c r="P43" s="8">
        <v>41371</v>
      </c>
      <c r="Q43" s="6" t="s">
        <v>132</v>
      </c>
    </row>
    <row r="44" spans="1:17" ht="12" customHeight="1" x14ac:dyDescent="0.2">
      <c r="A44" s="6" t="s">
        <v>133</v>
      </c>
      <c r="B44" s="6" t="s">
        <v>70</v>
      </c>
      <c r="C44" s="6" t="s">
        <v>65</v>
      </c>
      <c r="D44" s="6" t="s">
        <v>220</v>
      </c>
      <c r="E44" s="31">
        <v>325</v>
      </c>
      <c r="F44" s="6" t="s">
        <v>20</v>
      </c>
      <c r="G44" s="6" t="s">
        <v>20</v>
      </c>
      <c r="H44" s="40">
        <v>65</v>
      </c>
      <c r="I44" s="36">
        <v>325</v>
      </c>
      <c r="J44" s="36">
        <v>5</v>
      </c>
      <c r="K44" s="36"/>
      <c r="L44" s="6" t="s">
        <v>25</v>
      </c>
      <c r="M44" s="6" t="s">
        <v>34</v>
      </c>
      <c r="N44" s="6" t="s">
        <v>36</v>
      </c>
      <c r="O44" s="6" t="s">
        <v>135</v>
      </c>
      <c r="P44" s="8">
        <v>41384</v>
      </c>
      <c r="Q44" s="6" t="s">
        <v>136</v>
      </c>
    </row>
    <row r="45" spans="1:17" ht="12" customHeight="1" x14ac:dyDescent="0.2">
      <c r="A45" s="9" t="s">
        <v>137</v>
      </c>
      <c r="B45" s="9" t="s">
        <v>138</v>
      </c>
      <c r="C45" s="9" t="s">
        <v>81</v>
      </c>
      <c r="D45" s="9" t="s">
        <v>139</v>
      </c>
      <c r="E45" s="32">
        <v>60</v>
      </c>
      <c r="F45" s="9" t="s">
        <v>20</v>
      </c>
      <c r="G45" s="9" t="s">
        <v>20</v>
      </c>
      <c r="H45" s="41">
        <v>60</v>
      </c>
      <c r="I45" s="37">
        <v>60</v>
      </c>
      <c r="J45" s="37">
        <v>1</v>
      </c>
      <c r="K45" s="37"/>
      <c r="L45" s="9" t="s">
        <v>25</v>
      </c>
      <c r="M45" s="9" t="s">
        <v>34</v>
      </c>
      <c r="N45" s="9" t="s">
        <v>73</v>
      </c>
      <c r="O45" s="9" t="s">
        <v>72</v>
      </c>
      <c r="P45" s="10">
        <v>41389</v>
      </c>
      <c r="Q45" s="9" t="s">
        <v>20</v>
      </c>
    </row>
    <row r="46" spans="1:17" ht="12" customHeight="1" x14ac:dyDescent="0.2">
      <c r="A46" s="9" t="s">
        <v>140</v>
      </c>
      <c r="B46" s="9" t="s">
        <v>138</v>
      </c>
      <c r="C46" s="9" t="s">
        <v>81</v>
      </c>
      <c r="D46" s="9" t="s">
        <v>139</v>
      </c>
      <c r="E46" s="32">
        <v>21</v>
      </c>
      <c r="F46" s="9" t="s">
        <v>20</v>
      </c>
      <c r="G46" s="9" t="s">
        <v>20</v>
      </c>
      <c r="H46" s="41">
        <v>21</v>
      </c>
      <c r="I46" s="37">
        <v>21</v>
      </c>
      <c r="J46" s="37"/>
      <c r="K46" s="37">
        <v>1</v>
      </c>
      <c r="L46" s="9" t="s">
        <v>74</v>
      </c>
      <c r="M46" s="6" t="s">
        <v>209</v>
      </c>
      <c r="N46" s="9" t="s">
        <v>87</v>
      </c>
      <c r="O46" s="9" t="s">
        <v>141</v>
      </c>
      <c r="P46" s="10">
        <v>41387</v>
      </c>
      <c r="Q46" s="9" t="s">
        <v>142</v>
      </c>
    </row>
    <row r="47" spans="1:17" ht="12" customHeight="1" x14ac:dyDescent="0.2">
      <c r="A47" s="9" t="s">
        <v>143</v>
      </c>
      <c r="B47" s="9" t="s">
        <v>138</v>
      </c>
      <c r="C47" s="9" t="s">
        <v>81</v>
      </c>
      <c r="D47" s="9" t="s">
        <v>139</v>
      </c>
      <c r="E47" s="32">
        <v>100</v>
      </c>
      <c r="F47" s="9" t="s">
        <v>20</v>
      </c>
      <c r="G47" s="9" t="s">
        <v>20</v>
      </c>
      <c r="H47" s="41">
        <v>20</v>
      </c>
      <c r="I47" s="37">
        <v>100</v>
      </c>
      <c r="J47" s="37"/>
      <c r="K47" s="37">
        <v>5</v>
      </c>
      <c r="L47" s="9" t="s">
        <v>74</v>
      </c>
      <c r="M47" s="6" t="s">
        <v>209</v>
      </c>
      <c r="N47" s="9" t="s">
        <v>87</v>
      </c>
      <c r="O47" s="9" t="s">
        <v>86</v>
      </c>
      <c r="P47" s="10">
        <v>41384</v>
      </c>
      <c r="Q47" s="9" t="s">
        <v>20</v>
      </c>
    </row>
    <row r="48" spans="1:17" x14ac:dyDescent="0.2">
      <c r="E48" s="33">
        <f>SUM(E3:E47)</f>
        <v>17574</v>
      </c>
      <c r="F48" s="33">
        <f t="shared" ref="F48:K48" si="0">SUM(F3:F47)</f>
        <v>0</v>
      </c>
      <c r="G48" s="33">
        <f t="shared" si="0"/>
        <v>0</v>
      </c>
      <c r="H48" s="33"/>
      <c r="I48" s="46">
        <f>SUM(I3:I47)</f>
        <v>17574</v>
      </c>
      <c r="J48" s="46">
        <f t="shared" si="0"/>
        <v>247</v>
      </c>
      <c r="K48" s="46">
        <f t="shared" si="0"/>
        <v>180</v>
      </c>
    </row>
  </sheetData>
  <phoneticPr fontId="8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4"/>
  <sheetViews>
    <sheetView topLeftCell="F1" workbookViewId="0">
      <selection activeCell="P13" sqref="P13"/>
    </sheetView>
  </sheetViews>
  <sheetFormatPr defaultRowHeight="12.75" x14ac:dyDescent="0.2"/>
  <cols>
    <col min="1" max="1" width="11.140625" style="1" customWidth="1"/>
    <col min="2" max="2" width="9.7109375" style="1" customWidth="1"/>
    <col min="3" max="3" width="10.42578125" style="1" customWidth="1"/>
    <col min="4" max="4" width="21.5703125" style="1" customWidth="1"/>
    <col min="5" max="5" width="11.28515625" style="1" customWidth="1"/>
    <col min="6" max="6" width="9.28515625" style="56" customWidth="1"/>
    <col min="7" max="7" width="9.140625" style="1" customWidth="1"/>
    <col min="8" max="8" width="7.42578125" style="22" customWidth="1"/>
    <col min="9" max="9" width="9.85546875" style="25" customWidth="1"/>
    <col min="10" max="11" width="7.42578125" style="25" customWidth="1"/>
    <col min="12" max="13" width="15.42578125" style="1" customWidth="1"/>
    <col min="14" max="14" width="18.5703125" style="1" customWidth="1"/>
    <col min="15" max="15" width="25.42578125" style="1" customWidth="1"/>
    <col min="16" max="16" width="16.42578125" style="1" customWidth="1"/>
    <col min="17" max="17" width="51.140625" style="1" customWidth="1"/>
    <col min="18" max="16384" width="9.140625" style="1"/>
  </cols>
  <sheetData>
    <row r="1" spans="1:17" x14ac:dyDescent="0.2">
      <c r="A1" s="1" t="s">
        <v>202</v>
      </c>
    </row>
    <row r="2" spans="1:17" ht="24" x14ac:dyDescent="0.2">
      <c r="A2" s="2" t="s">
        <v>1</v>
      </c>
      <c r="B2" s="2" t="s">
        <v>2</v>
      </c>
      <c r="C2" s="2" t="s">
        <v>3</v>
      </c>
      <c r="D2" s="2" t="s">
        <v>4</v>
      </c>
      <c r="E2" s="3" t="s">
        <v>5</v>
      </c>
      <c r="F2" s="54" t="s">
        <v>14</v>
      </c>
      <c r="G2" s="2" t="s">
        <v>15</v>
      </c>
      <c r="H2" s="38" t="s">
        <v>207</v>
      </c>
      <c r="I2" s="34" t="s">
        <v>204</v>
      </c>
      <c r="J2" s="34" t="s">
        <v>205</v>
      </c>
      <c r="K2" s="34" t="s">
        <v>206</v>
      </c>
      <c r="L2" s="2" t="s">
        <v>11</v>
      </c>
      <c r="M2" s="2" t="s">
        <v>233</v>
      </c>
      <c r="N2" s="2" t="s">
        <v>8</v>
      </c>
      <c r="O2" s="2" t="s">
        <v>9</v>
      </c>
      <c r="P2" s="2" t="s">
        <v>226</v>
      </c>
      <c r="Q2" s="2" t="s">
        <v>12</v>
      </c>
    </row>
    <row r="3" spans="1:17" ht="12" customHeight="1" x14ac:dyDescent="0.2">
      <c r="A3" s="11" t="s">
        <v>147</v>
      </c>
      <c r="B3" s="11" t="s">
        <v>148</v>
      </c>
      <c r="C3" s="11" t="s">
        <v>65</v>
      </c>
      <c r="D3" s="11" t="s">
        <v>149</v>
      </c>
      <c r="E3" s="45">
        <v>0.2</v>
      </c>
      <c r="F3" s="58"/>
      <c r="G3" s="12"/>
      <c r="H3" s="44"/>
      <c r="I3" s="47">
        <v>0.2</v>
      </c>
      <c r="J3" s="43"/>
      <c r="K3" s="43"/>
      <c r="L3" s="11" t="s">
        <v>153</v>
      </c>
      <c r="M3" s="11"/>
      <c r="N3" s="11" t="s">
        <v>150</v>
      </c>
      <c r="O3" s="11" t="s">
        <v>151</v>
      </c>
      <c r="P3" s="13" t="s">
        <v>20</v>
      </c>
      <c r="Q3" s="11" t="s">
        <v>20</v>
      </c>
    </row>
    <row r="4" spans="1:17" ht="12" customHeight="1" x14ac:dyDescent="0.2">
      <c r="A4" s="11" t="s">
        <v>158</v>
      </c>
      <c r="B4" s="11" t="s">
        <v>138</v>
      </c>
      <c r="C4" s="11" t="s">
        <v>65</v>
      </c>
      <c r="D4" s="11" t="s">
        <v>159</v>
      </c>
      <c r="E4" s="52">
        <v>134</v>
      </c>
      <c r="F4" s="55">
        <v>3</v>
      </c>
      <c r="G4" s="12"/>
      <c r="H4" s="49">
        <v>67</v>
      </c>
      <c r="I4" s="48">
        <v>134</v>
      </c>
      <c r="J4" s="48">
        <v>2</v>
      </c>
      <c r="K4" s="43"/>
      <c r="L4" s="11" t="s">
        <v>25</v>
      </c>
      <c r="M4" s="11"/>
      <c r="N4" s="11" t="s">
        <v>156</v>
      </c>
      <c r="O4" s="11" t="s">
        <v>157</v>
      </c>
      <c r="P4" s="13"/>
      <c r="Q4" s="11" t="s">
        <v>20</v>
      </c>
    </row>
    <row r="5" spans="1:17" ht="12" customHeight="1" x14ac:dyDescent="0.2">
      <c r="A5" s="11" t="s">
        <v>160</v>
      </c>
      <c r="B5" s="11" t="s">
        <v>148</v>
      </c>
      <c r="C5" s="11" t="s">
        <v>65</v>
      </c>
      <c r="D5" s="11" t="s">
        <v>149</v>
      </c>
      <c r="E5" s="45">
        <v>0.2</v>
      </c>
      <c r="F5" s="58"/>
      <c r="G5" s="12"/>
      <c r="H5" s="44"/>
      <c r="I5" s="47">
        <v>0.2</v>
      </c>
      <c r="J5" s="43"/>
      <c r="K5" s="43"/>
      <c r="L5" s="11" t="s">
        <v>153</v>
      </c>
      <c r="M5" s="11"/>
      <c r="N5" s="11" t="s">
        <v>150</v>
      </c>
      <c r="O5" s="11" t="s">
        <v>151</v>
      </c>
      <c r="P5" s="13" t="s">
        <v>20</v>
      </c>
      <c r="Q5" s="11" t="s">
        <v>20</v>
      </c>
    </row>
    <row r="6" spans="1:17" ht="12" customHeight="1" x14ac:dyDescent="0.2">
      <c r="A6" s="11" t="s">
        <v>161</v>
      </c>
      <c r="B6" s="11" t="s">
        <v>162</v>
      </c>
      <c r="C6" s="11" t="s">
        <v>65</v>
      </c>
      <c r="D6" s="11" t="s">
        <v>149</v>
      </c>
      <c r="E6" s="52">
        <v>5</v>
      </c>
      <c r="F6" s="55">
        <v>5</v>
      </c>
      <c r="G6" s="12"/>
      <c r="H6" s="44"/>
      <c r="I6" s="48">
        <v>5</v>
      </c>
      <c r="J6" s="43"/>
      <c r="K6" s="43"/>
      <c r="L6" s="11" t="s">
        <v>153</v>
      </c>
      <c r="M6" s="11"/>
      <c r="N6" s="11" t="s">
        <v>150</v>
      </c>
      <c r="O6" s="11" t="s">
        <v>163</v>
      </c>
      <c r="P6" s="13"/>
      <c r="Q6" s="11" t="s">
        <v>20</v>
      </c>
    </row>
    <row r="7" spans="1:17" ht="12" customHeight="1" x14ac:dyDescent="0.2">
      <c r="A7" s="11" t="s">
        <v>172</v>
      </c>
      <c r="B7" s="11" t="s">
        <v>162</v>
      </c>
      <c r="C7" s="11" t="s">
        <v>65</v>
      </c>
      <c r="D7" s="11" t="s">
        <v>149</v>
      </c>
      <c r="E7" s="52">
        <v>10</v>
      </c>
      <c r="F7" s="55"/>
      <c r="G7" s="12"/>
      <c r="H7" s="44"/>
      <c r="I7" s="48">
        <v>10</v>
      </c>
      <c r="J7" s="43"/>
      <c r="K7" s="43"/>
      <c r="L7" s="11" t="s">
        <v>153</v>
      </c>
      <c r="M7" s="11"/>
      <c r="N7" s="11" t="s">
        <v>150</v>
      </c>
      <c r="O7" s="11" t="s">
        <v>173</v>
      </c>
      <c r="P7" s="13" t="s">
        <v>20</v>
      </c>
      <c r="Q7" s="11" t="s">
        <v>20</v>
      </c>
    </row>
    <row r="8" spans="1:17" ht="12" customHeight="1" x14ac:dyDescent="0.2">
      <c r="A8" s="11" t="s">
        <v>174</v>
      </c>
      <c r="B8" s="11" t="s">
        <v>162</v>
      </c>
      <c r="C8" s="11" t="s">
        <v>65</v>
      </c>
      <c r="D8" s="11" t="s">
        <v>149</v>
      </c>
      <c r="E8" s="52">
        <v>3</v>
      </c>
      <c r="F8" s="55">
        <v>3</v>
      </c>
      <c r="G8" s="12"/>
      <c r="H8" s="44"/>
      <c r="I8" s="48">
        <v>3</v>
      </c>
      <c r="J8" s="43"/>
      <c r="K8" s="43"/>
      <c r="L8" s="11" t="s">
        <v>153</v>
      </c>
      <c r="M8" s="11"/>
      <c r="N8" s="11" t="s">
        <v>150</v>
      </c>
      <c r="O8" s="11" t="s">
        <v>175</v>
      </c>
      <c r="P8" s="13" t="s">
        <v>20</v>
      </c>
      <c r="Q8" s="11" t="s">
        <v>20</v>
      </c>
    </row>
    <row r="9" spans="1:17" ht="12" customHeight="1" x14ac:dyDescent="0.2">
      <c r="A9" s="11" t="s">
        <v>176</v>
      </c>
      <c r="B9" s="11" t="s">
        <v>148</v>
      </c>
      <c r="C9" s="11" t="s">
        <v>65</v>
      </c>
      <c r="D9" s="11" t="s">
        <v>149</v>
      </c>
      <c r="E9" s="45">
        <v>0.2</v>
      </c>
      <c r="F9" s="58"/>
      <c r="G9" s="12"/>
      <c r="H9" s="44"/>
      <c r="I9" s="47">
        <v>0.2</v>
      </c>
      <c r="J9" s="43"/>
      <c r="K9" s="43"/>
      <c r="L9" s="11" t="s">
        <v>153</v>
      </c>
      <c r="M9" s="11"/>
      <c r="N9" s="11" t="s">
        <v>150</v>
      </c>
      <c r="O9" s="11" t="s">
        <v>177</v>
      </c>
      <c r="P9" s="13" t="s">
        <v>20</v>
      </c>
      <c r="Q9" s="11" t="s">
        <v>20</v>
      </c>
    </row>
    <row r="10" spans="1:17" ht="12" customHeight="1" x14ac:dyDescent="0.2">
      <c r="A10" s="11" t="s">
        <v>178</v>
      </c>
      <c r="B10" s="11" t="s">
        <v>138</v>
      </c>
      <c r="C10" s="11" t="s">
        <v>65</v>
      </c>
      <c r="D10" s="11" t="s">
        <v>159</v>
      </c>
      <c r="E10" s="52">
        <v>260</v>
      </c>
      <c r="F10" s="55"/>
      <c r="G10" s="12"/>
      <c r="H10" s="49">
        <v>65</v>
      </c>
      <c r="I10" s="48">
        <v>260</v>
      </c>
      <c r="J10" s="48">
        <v>4</v>
      </c>
      <c r="K10" s="43"/>
      <c r="L10" s="11" t="s">
        <v>25</v>
      </c>
      <c r="M10" s="11"/>
      <c r="N10" s="11" t="s">
        <v>179</v>
      </c>
      <c r="O10" s="11" t="s">
        <v>180</v>
      </c>
      <c r="P10" s="13" t="s">
        <v>20</v>
      </c>
      <c r="Q10" s="11" t="s">
        <v>20</v>
      </c>
    </row>
    <row r="11" spans="1:17" ht="12" customHeight="1" x14ac:dyDescent="0.2">
      <c r="A11" s="11" t="s">
        <v>182</v>
      </c>
      <c r="B11" s="11" t="s">
        <v>148</v>
      </c>
      <c r="C11" s="11" t="s">
        <v>65</v>
      </c>
      <c r="D11" s="11" t="s">
        <v>154</v>
      </c>
      <c r="E11" s="45">
        <v>3</v>
      </c>
      <c r="F11" s="58"/>
      <c r="G11" s="12"/>
      <c r="H11" s="44"/>
      <c r="I11" s="48">
        <v>3</v>
      </c>
      <c r="J11" s="43"/>
      <c r="K11" s="43"/>
      <c r="L11" s="11" t="s">
        <v>153</v>
      </c>
      <c r="M11" s="11"/>
      <c r="N11" s="11" t="s">
        <v>150</v>
      </c>
      <c r="O11" s="11" t="s">
        <v>183</v>
      </c>
      <c r="P11" s="13" t="s">
        <v>20</v>
      </c>
      <c r="Q11" s="11" t="s">
        <v>20</v>
      </c>
    </row>
    <row r="12" spans="1:17" ht="12" customHeight="1" x14ac:dyDescent="0.2">
      <c r="A12" s="11" t="s">
        <v>191</v>
      </c>
      <c r="B12" s="11" t="s">
        <v>162</v>
      </c>
      <c r="C12" s="11" t="s">
        <v>65</v>
      </c>
      <c r="D12" s="11" t="s">
        <v>149</v>
      </c>
      <c r="E12" s="52">
        <v>1</v>
      </c>
      <c r="F12" s="55"/>
      <c r="G12" s="12"/>
      <c r="H12" s="44"/>
      <c r="I12" s="48">
        <v>1</v>
      </c>
      <c r="J12" s="43"/>
      <c r="K12" s="43"/>
      <c r="L12" s="11" t="s">
        <v>153</v>
      </c>
      <c r="M12" s="11"/>
      <c r="N12" s="11" t="s">
        <v>150</v>
      </c>
      <c r="O12" s="11" t="s">
        <v>192</v>
      </c>
      <c r="P12" s="13" t="s">
        <v>20</v>
      </c>
      <c r="Q12" s="11" t="s">
        <v>20</v>
      </c>
    </row>
    <row r="13" spans="1:17" ht="12" customHeight="1" x14ac:dyDescent="0.2">
      <c r="A13" s="11" t="s">
        <v>194</v>
      </c>
      <c r="B13" s="11" t="s">
        <v>138</v>
      </c>
      <c r="C13" s="11" t="s">
        <v>81</v>
      </c>
      <c r="D13" s="11" t="s">
        <v>159</v>
      </c>
      <c r="E13" s="52">
        <v>266</v>
      </c>
      <c r="F13" s="57">
        <v>2.6</v>
      </c>
      <c r="G13" s="12"/>
      <c r="H13" s="49">
        <v>66.5</v>
      </c>
      <c r="I13" s="48">
        <v>266</v>
      </c>
      <c r="J13" s="48">
        <v>4</v>
      </c>
      <c r="K13" s="43"/>
      <c r="L13" s="11" t="s">
        <v>25</v>
      </c>
      <c r="M13" s="11"/>
      <c r="N13" s="11" t="s">
        <v>156</v>
      </c>
      <c r="O13" s="11" t="s">
        <v>157</v>
      </c>
      <c r="P13" s="13"/>
      <c r="Q13" s="11" t="s">
        <v>20</v>
      </c>
    </row>
    <row r="14" spans="1:17" x14ac:dyDescent="0.2">
      <c r="E14" s="42">
        <f>SUM(E3:E13)</f>
        <v>682.59999999999991</v>
      </c>
      <c r="F14" s="59">
        <f>SUM(F3:F13)</f>
        <v>13.6</v>
      </c>
      <c r="G14" s="42">
        <f>SUM(G3:G13)</f>
        <v>0</v>
      </c>
      <c r="H14" s="42"/>
      <c r="I14" s="50">
        <f>SUM(I3:I13)</f>
        <v>682.59999999999991</v>
      </c>
      <c r="J14" s="51">
        <f>SUM(J3:J13)</f>
        <v>10</v>
      </c>
      <c r="K14" s="51">
        <f>SUM(K3:K13)</f>
        <v>0</v>
      </c>
      <c r="L14" s="42"/>
      <c r="M14" s="42"/>
    </row>
  </sheetData>
  <phoneticPr fontId="0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"/>
  <sheetViews>
    <sheetView workbookViewId="0">
      <selection activeCell="H25" sqref="H25"/>
    </sheetView>
  </sheetViews>
  <sheetFormatPr defaultRowHeight="12.75" x14ac:dyDescent="0.2"/>
  <cols>
    <col min="1" max="1" width="18" style="1" customWidth="1"/>
    <col min="2" max="2" width="11.140625" style="1" customWidth="1"/>
    <col min="3" max="3" width="16.140625" style="1" bestFit="1" customWidth="1"/>
    <col min="4" max="4" width="10.42578125" style="1" customWidth="1"/>
    <col min="5" max="5" width="25.140625" style="1" customWidth="1"/>
    <col min="6" max="6" width="11.28515625" style="1" customWidth="1"/>
    <col min="7" max="7" width="7.7109375" style="1" customWidth="1"/>
    <col min="8" max="8" width="18.5703125" style="1" customWidth="1"/>
    <col min="9" max="9" width="8" style="1" customWidth="1"/>
    <col min="10" max="10" width="9.5703125" style="1" customWidth="1"/>
    <col min="11" max="13" width="13.140625" style="1" customWidth="1"/>
    <col min="14" max="16384" width="9.140625" style="1"/>
  </cols>
  <sheetData>
    <row r="1" spans="1:12" x14ac:dyDescent="0.2">
      <c r="B1" s="1" t="s">
        <v>202</v>
      </c>
    </row>
    <row r="2" spans="1:12" x14ac:dyDescent="0.2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3" t="s">
        <v>5</v>
      </c>
      <c r="G2" s="2" t="s">
        <v>6</v>
      </c>
      <c r="H2" s="2" t="s">
        <v>8</v>
      </c>
      <c r="I2" s="2" t="s">
        <v>9</v>
      </c>
      <c r="J2" s="2" t="s">
        <v>10</v>
      </c>
      <c r="K2" s="2" t="s">
        <v>13</v>
      </c>
      <c r="L2" s="2" t="s">
        <v>12</v>
      </c>
    </row>
    <row r="3" spans="1:12" ht="12" customHeight="1" x14ac:dyDescent="0.2">
      <c r="A3" s="11" t="s">
        <v>155</v>
      </c>
      <c r="B3" s="11" t="s">
        <v>164</v>
      </c>
      <c r="C3" s="11" t="s">
        <v>144</v>
      </c>
      <c r="D3" s="11" t="s">
        <v>165</v>
      </c>
      <c r="E3" s="11" t="s">
        <v>154</v>
      </c>
      <c r="F3" s="53">
        <v>6830</v>
      </c>
      <c r="G3" s="11" t="s">
        <v>21</v>
      </c>
      <c r="H3" s="11" t="s">
        <v>150</v>
      </c>
      <c r="I3" s="11" t="s">
        <v>166</v>
      </c>
      <c r="J3" s="11" t="s">
        <v>152</v>
      </c>
      <c r="K3" s="13" t="s">
        <v>167</v>
      </c>
      <c r="L3" s="11" t="s">
        <v>168</v>
      </c>
    </row>
    <row r="4" spans="1:12" ht="12" customHeight="1" x14ac:dyDescent="0.2">
      <c r="A4" s="11" t="s">
        <v>155</v>
      </c>
      <c r="B4" s="11" t="s">
        <v>169</v>
      </c>
      <c r="C4" s="11" t="s">
        <v>170</v>
      </c>
      <c r="D4" s="11" t="s">
        <v>165</v>
      </c>
      <c r="E4" s="11" t="s">
        <v>171</v>
      </c>
      <c r="F4" s="53">
        <v>100</v>
      </c>
      <c r="G4" s="11" t="s">
        <v>21</v>
      </c>
      <c r="H4" s="11" t="s">
        <v>150</v>
      </c>
      <c r="I4" s="11" t="s">
        <v>166</v>
      </c>
      <c r="J4" s="11" t="s">
        <v>152</v>
      </c>
      <c r="K4" s="13" t="s">
        <v>167</v>
      </c>
      <c r="L4" s="11" t="s">
        <v>20</v>
      </c>
    </row>
    <row r="5" spans="1:12" ht="12" customHeight="1" x14ac:dyDescent="0.2">
      <c r="A5" s="11" t="s">
        <v>155</v>
      </c>
      <c r="B5" s="11" t="s">
        <v>181</v>
      </c>
      <c r="C5" s="11" t="s">
        <v>145</v>
      </c>
      <c r="D5" s="11" t="s">
        <v>165</v>
      </c>
      <c r="E5" s="11" t="s">
        <v>154</v>
      </c>
      <c r="F5" s="53">
        <v>120</v>
      </c>
      <c r="G5" s="11" t="s">
        <v>21</v>
      </c>
      <c r="H5" s="11" t="s">
        <v>150</v>
      </c>
      <c r="I5" s="11" t="s">
        <v>166</v>
      </c>
      <c r="J5" s="11" t="s">
        <v>152</v>
      </c>
      <c r="K5" s="13" t="s">
        <v>167</v>
      </c>
      <c r="L5" s="11" t="s">
        <v>20</v>
      </c>
    </row>
    <row r="6" spans="1:12" ht="12" customHeight="1" x14ac:dyDescent="0.2">
      <c r="A6" s="11" t="s">
        <v>155</v>
      </c>
      <c r="B6" s="11" t="s">
        <v>184</v>
      </c>
      <c r="C6" s="11" t="s">
        <v>185</v>
      </c>
      <c r="D6" s="11" t="s">
        <v>165</v>
      </c>
      <c r="E6" s="11" t="s">
        <v>154</v>
      </c>
      <c r="F6" s="53">
        <v>2000</v>
      </c>
      <c r="G6" s="11" t="s">
        <v>21</v>
      </c>
      <c r="H6" s="11" t="s">
        <v>150</v>
      </c>
      <c r="I6" s="11" t="s">
        <v>166</v>
      </c>
      <c r="J6" s="11" t="s">
        <v>152</v>
      </c>
      <c r="K6" s="13" t="s">
        <v>167</v>
      </c>
      <c r="L6" s="11" t="s">
        <v>20</v>
      </c>
    </row>
    <row r="7" spans="1:12" ht="12" customHeight="1" x14ac:dyDescent="0.2">
      <c r="A7" s="11" t="s">
        <v>155</v>
      </c>
      <c r="B7" s="11" t="s">
        <v>186</v>
      </c>
      <c r="C7" s="11" t="s">
        <v>187</v>
      </c>
      <c r="D7" s="11" t="s">
        <v>165</v>
      </c>
      <c r="E7" s="11" t="s">
        <v>154</v>
      </c>
      <c r="F7" s="53">
        <v>30</v>
      </c>
      <c r="G7" s="11" t="s">
        <v>21</v>
      </c>
      <c r="H7" s="11" t="s">
        <v>150</v>
      </c>
      <c r="I7" s="11" t="s">
        <v>166</v>
      </c>
      <c r="J7" s="11" t="s">
        <v>152</v>
      </c>
      <c r="K7" s="13" t="s">
        <v>20</v>
      </c>
      <c r="L7" s="11" t="s">
        <v>20</v>
      </c>
    </row>
    <row r="8" spans="1:12" ht="12" customHeight="1" x14ac:dyDescent="0.2">
      <c r="A8" s="11" t="s">
        <v>155</v>
      </c>
      <c r="B8" s="11" t="s">
        <v>188</v>
      </c>
      <c r="C8" s="11" t="s">
        <v>189</v>
      </c>
      <c r="D8" s="11" t="s">
        <v>165</v>
      </c>
      <c r="E8" s="11" t="s">
        <v>154</v>
      </c>
      <c r="F8" s="53">
        <v>75</v>
      </c>
      <c r="G8" s="11" t="s">
        <v>21</v>
      </c>
      <c r="H8" s="11" t="s">
        <v>150</v>
      </c>
      <c r="I8" s="11" t="s">
        <v>166</v>
      </c>
      <c r="J8" s="11" t="s">
        <v>152</v>
      </c>
      <c r="K8" s="13" t="s">
        <v>167</v>
      </c>
      <c r="L8" s="11" t="s">
        <v>20</v>
      </c>
    </row>
    <row r="9" spans="1:12" ht="12" customHeight="1" x14ac:dyDescent="0.2">
      <c r="A9" s="11" t="s">
        <v>155</v>
      </c>
      <c r="B9" s="11" t="s">
        <v>193</v>
      </c>
      <c r="C9" s="11" t="s">
        <v>146</v>
      </c>
      <c r="D9" s="11" t="s">
        <v>165</v>
      </c>
      <c r="E9" s="11" t="s">
        <v>154</v>
      </c>
      <c r="F9" s="53">
        <v>230</v>
      </c>
      <c r="G9" s="11" t="s">
        <v>21</v>
      </c>
      <c r="H9" s="11" t="s">
        <v>150</v>
      </c>
      <c r="I9" s="11" t="s">
        <v>166</v>
      </c>
      <c r="J9" s="11" t="s">
        <v>152</v>
      </c>
      <c r="K9" s="13" t="s">
        <v>167</v>
      </c>
      <c r="L9" s="11" t="s">
        <v>20</v>
      </c>
    </row>
    <row r="10" spans="1:12" ht="12" customHeight="1" x14ac:dyDescent="0.2">
      <c r="A10" s="11" t="s">
        <v>155</v>
      </c>
      <c r="B10" s="11"/>
      <c r="C10" s="11" t="s">
        <v>190</v>
      </c>
      <c r="D10" s="11" t="s">
        <v>165</v>
      </c>
      <c r="E10" s="11" t="s">
        <v>154</v>
      </c>
      <c r="F10" s="53">
        <v>75</v>
      </c>
      <c r="G10" s="11" t="s">
        <v>21</v>
      </c>
      <c r="H10" s="11" t="s">
        <v>150</v>
      </c>
      <c r="I10" s="11" t="s">
        <v>166</v>
      </c>
      <c r="J10" s="11" t="s">
        <v>152</v>
      </c>
      <c r="K10" s="13" t="s">
        <v>167</v>
      </c>
      <c r="L10" s="11" t="s">
        <v>20</v>
      </c>
    </row>
    <row r="11" spans="1:12" x14ac:dyDescent="0.2">
      <c r="F11" s="60">
        <f>SUM(F3:F10)</f>
        <v>9460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Sheet1</vt:lpstr>
      <vt:lpstr>Экспорт</vt:lpstr>
      <vt:lpstr>Сплав</vt:lpstr>
      <vt:lpstr>Россия</vt:lpstr>
      <vt:lpstr>КраМЗ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Gusakov Dmitriy</dc:creator>
  <cp:lastModifiedBy>Windows User</cp:lastModifiedBy>
  <cp:lastPrinted>2013-04-01T07:43:13Z</cp:lastPrinted>
  <dcterms:created xsi:type="dcterms:W3CDTF">1996-10-14T23:33:28Z</dcterms:created>
  <dcterms:modified xsi:type="dcterms:W3CDTF">2013-04-16T01:53:27Z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3" name="_NewReviewCycle">
    <vt:lpwstr/>
  </property>
  <property fmtid="{D5CDD505-2E9C-101B-9397-08002B2CF9AE}" pid="7" name="BExAnalyzer_OldName">
    <vt:lpwstr>Заявка под график март кор.2 КРАЗ.xlsx</vt:lpwstr>
  </property>
</Properties>
</file>